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Research\microbiome_orchard_forest\Sci Adv - v2\GitHub\"/>
    </mc:Choice>
  </mc:AlternateContent>
  <xr:revisionPtr revIDLastSave="0" documentId="13_ncr:1_{47F9D97A-4343-4808-AE4D-1150BD731412}" xr6:coauthVersionLast="47" xr6:coauthVersionMax="47" xr10:uidLastSave="{00000000-0000-0000-0000-000000000000}"/>
  <bookViews>
    <workbookView xWindow="-110" yWindow="-110" windowWidth="25820" windowHeight="15500" xr2:uid="{CAF60AAF-47E4-45AC-8AF7-2AFC90579815}"/>
  </bookViews>
  <sheets>
    <sheet name="All" sheetId="17" r:id="rId1"/>
  </sheets>
  <definedNames>
    <definedName name="_xlnm._FilterDatabase" localSheetId="0" hidden="1">All!$A$1:$AC$145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17" l="1"/>
  <c r="S4" i="17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2" i="17"/>
  <c r="Q3" i="17" l="1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2" i="17"/>
  <c r="W3" i="17" l="1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1" i="17"/>
  <c r="W42" i="17"/>
  <c r="W43" i="17"/>
  <c r="W44" i="17"/>
  <c r="W46" i="17"/>
  <c r="W47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0B2DE6-8F0E-4701-8DCC-BBC09CBD357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<sst xmlns="http://schemas.openxmlformats.org/spreadsheetml/2006/main" count="1045" uniqueCount="267">
  <si>
    <t>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</si>
  <si>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</si>
  <si>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</si>
  <si>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</si>
  <si>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</si>
  <si>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</si>
  <si>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</si>
  <si>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</si>
  <si>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</si>
  <si>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</si>
  <si>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</si>
  <si>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</si>
  <si>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</si>
  <si>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</si>
  <si>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</si>
  <si>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</si>
  <si>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</si>
  <si>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</si>
  <si>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</si>
  <si>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</si>
  <si>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</si>
  <si>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</si>
  <si>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</si>
  <si>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</si>
  <si>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</si>
  <si>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</si>
  <si>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</si>
  <si>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</si>
  <si>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</si>
  <si>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</si>
  <si>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</si>
  <si>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</si>
  <si>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</si>
  <si>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</si>
  <si>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</si>
  <si>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</si>
  <si>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</si>
  <si>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N1</t>
  </si>
  <si>
    <t>N2</t>
  </si>
  <si>
    <t>N3</t>
  </si>
  <si>
    <t>N4</t>
  </si>
  <si>
    <t>N5</t>
  </si>
  <si>
    <t>N6</t>
  </si>
  <si>
    <t>Forest</t>
  </si>
  <si>
    <t>C</t>
  </si>
  <si>
    <t>N</t>
  </si>
  <si>
    <t>CN</t>
  </si>
  <si>
    <t>A1-1H</t>
  </si>
  <si>
    <t>A1-1E</t>
  </si>
  <si>
    <t>A1-2H</t>
  </si>
  <si>
    <t>A1-2E</t>
  </si>
  <si>
    <t>A1-3H</t>
  </si>
  <si>
    <t>A1-3E</t>
  </si>
  <si>
    <t>A1-N1</t>
  </si>
  <si>
    <t>A1-N2</t>
  </si>
  <si>
    <t>A2-1H</t>
  </si>
  <si>
    <t>A2-1E</t>
  </si>
  <si>
    <t>A2-2H</t>
  </si>
  <si>
    <t>A2-2E</t>
  </si>
  <si>
    <t>A2-3H</t>
  </si>
  <si>
    <t>A2-3E</t>
  </si>
  <si>
    <t>A2-N2</t>
  </si>
  <si>
    <t>A3-1H</t>
  </si>
  <si>
    <t>A3-1E</t>
  </si>
  <si>
    <t>A3-2H</t>
  </si>
  <si>
    <t>A3-2E</t>
  </si>
  <si>
    <t>A3-3H</t>
  </si>
  <si>
    <t>A3-3E</t>
  </si>
  <si>
    <t>A3-N1</t>
  </si>
  <si>
    <t>A3-N2</t>
  </si>
  <si>
    <t>C2-1H</t>
  </si>
  <si>
    <t>C2-1E</t>
  </si>
  <si>
    <t>C2-2H</t>
  </si>
  <si>
    <t>C2-2E</t>
  </si>
  <si>
    <t>C2-3H</t>
  </si>
  <si>
    <t>C2-3E</t>
  </si>
  <si>
    <t>C2-N1</t>
  </si>
  <si>
    <t>C2-N2</t>
  </si>
  <si>
    <t>C4-1H</t>
  </si>
  <si>
    <t>C4-1E</t>
  </si>
  <si>
    <t>C4-2H</t>
  </si>
  <si>
    <t>C4-2E</t>
  </si>
  <si>
    <t>C4-3H</t>
  </si>
  <si>
    <t>C4-3E</t>
  </si>
  <si>
    <t>C4-N1</t>
  </si>
  <si>
    <t>C4-N2</t>
  </si>
  <si>
    <t>C5-1H</t>
  </si>
  <si>
    <t>C5-1E</t>
  </si>
  <si>
    <t>C5-2H</t>
  </si>
  <si>
    <t>C5-2E</t>
  </si>
  <si>
    <t>C5-3H</t>
  </si>
  <si>
    <t>C5-3E</t>
  </si>
  <si>
    <t>C5-N1</t>
  </si>
  <si>
    <t>C5-N2</t>
  </si>
  <si>
    <t>Month</t>
  </si>
  <si>
    <t>September</t>
  </si>
  <si>
    <t>December</t>
  </si>
  <si>
    <t>May</t>
  </si>
  <si>
    <t>A2-N1</t>
  </si>
  <si>
    <t>pH</t>
  </si>
  <si>
    <t>P</t>
  </si>
  <si>
    <t>SOM</t>
  </si>
  <si>
    <t>Cat</t>
  </si>
  <si>
    <t>0-30-I</t>
  </si>
  <si>
    <t>0-30-R</t>
  </si>
  <si>
    <t>31-70-I</t>
  </si>
  <si>
    <t>31-70-R</t>
  </si>
  <si>
    <t>71-100-I</t>
  </si>
  <si>
    <t>71-100-R</t>
  </si>
  <si>
    <t>clay</t>
  </si>
  <si>
    <t>silt</t>
  </si>
  <si>
    <t>sand</t>
  </si>
  <si>
    <t>IMR</t>
  </si>
  <si>
    <t>N7</t>
  </si>
  <si>
    <t>N8</t>
  </si>
  <si>
    <t>N9</t>
  </si>
  <si>
    <t>N10</t>
  </si>
  <si>
    <t>C23</t>
  </si>
  <si>
    <t>C20</t>
  </si>
  <si>
    <t>C31</t>
  </si>
  <si>
    <t>C36</t>
  </si>
  <si>
    <t>A21</t>
  </si>
  <si>
    <t>A34</t>
  </si>
  <si>
    <t>A36</t>
  </si>
  <si>
    <t>A24</t>
  </si>
  <si>
    <t>A26</t>
  </si>
  <si>
    <t>A37</t>
  </si>
  <si>
    <t>A32</t>
  </si>
  <si>
    <t>N11</t>
  </si>
  <si>
    <t>N22</t>
  </si>
  <si>
    <t>N12</t>
  </si>
  <si>
    <t>N21</t>
  </si>
  <si>
    <t>N31</t>
  </si>
  <si>
    <t>N32</t>
  </si>
  <si>
    <t>A20</t>
  </si>
  <si>
    <t>A40</t>
  </si>
  <si>
    <t>A30</t>
  </si>
  <si>
    <t>A19</t>
  </si>
  <si>
    <t>A22</t>
  </si>
  <si>
    <t>A42</t>
  </si>
  <si>
    <t>A53</t>
  </si>
  <si>
    <t>A52</t>
  </si>
  <si>
    <t>A44</t>
  </si>
  <si>
    <t>A46</t>
  </si>
  <si>
    <t>A23</t>
  </si>
  <si>
    <t>N13</t>
  </si>
  <si>
    <t>N25</t>
  </si>
  <si>
    <t>N14</t>
  </si>
  <si>
    <t>N24</t>
  </si>
  <si>
    <t>A25</t>
  </si>
  <si>
    <t>N23</t>
  </si>
  <si>
    <t>A35</t>
  </si>
  <si>
    <t>N33</t>
  </si>
  <si>
    <t>N35</t>
  </si>
  <si>
    <t>A28</t>
  </si>
  <si>
    <t>A27</t>
  </si>
  <si>
    <t>A29</t>
  </si>
  <si>
    <t>N15</t>
  </si>
  <si>
    <t>N16</t>
  </si>
  <si>
    <t>A31</t>
  </si>
  <si>
    <t>A33</t>
  </si>
  <si>
    <t>N17</t>
  </si>
  <si>
    <t>N18</t>
  </si>
  <si>
    <t>C19</t>
  </si>
  <si>
    <t>C22</t>
  </si>
  <si>
    <t>C21</t>
  </si>
  <si>
    <t>C24</t>
  </si>
  <si>
    <t>N19</t>
  </si>
  <si>
    <t>N20</t>
  </si>
  <si>
    <t>C26</t>
  </si>
  <si>
    <t>C25</t>
  </si>
  <si>
    <t>C28</t>
  </si>
  <si>
    <t>C27</t>
  </si>
  <si>
    <t>C30</t>
  </si>
  <si>
    <t>C29</t>
  </si>
  <si>
    <t>C32</t>
  </si>
  <si>
    <t>C34</t>
  </si>
  <si>
    <t>C33</t>
  </si>
  <si>
    <t>C35</t>
  </si>
  <si>
    <t>A38</t>
  </si>
  <si>
    <t>A39</t>
  </si>
  <si>
    <t>A41</t>
  </si>
  <si>
    <t>N26</t>
  </si>
  <si>
    <t>A43</t>
  </si>
  <si>
    <t>A45</t>
  </si>
  <si>
    <t>A48</t>
  </si>
  <si>
    <t>A47</t>
  </si>
  <si>
    <t>N27</t>
  </si>
  <si>
    <t>N28</t>
  </si>
  <si>
    <t>A50</t>
  </si>
  <si>
    <t>A49</t>
  </si>
  <si>
    <t>A51</t>
  </si>
  <si>
    <t>A54</t>
  </si>
  <si>
    <t>N29</t>
  </si>
  <si>
    <t>N30</t>
  </si>
  <si>
    <t>C38</t>
  </si>
  <si>
    <t>C37</t>
  </si>
  <si>
    <t>C40</t>
  </si>
  <si>
    <t>C39</t>
  </si>
  <si>
    <t>C42</t>
  </si>
  <si>
    <t>C41</t>
  </si>
  <si>
    <t>C44</t>
  </si>
  <si>
    <t>C43</t>
  </si>
  <si>
    <t>C46</t>
  </si>
  <si>
    <t>C45</t>
  </si>
  <si>
    <t>C48</t>
  </si>
  <si>
    <t>C47</t>
  </si>
  <si>
    <t>N34</t>
  </si>
  <si>
    <t>C50</t>
  </si>
  <si>
    <t>C49</t>
  </si>
  <si>
    <t>C52</t>
  </si>
  <si>
    <t>C51</t>
  </si>
  <si>
    <t>C54</t>
  </si>
  <si>
    <t>C53</t>
  </si>
  <si>
    <t>N36</t>
  </si>
  <si>
    <t>qPCR_16s</t>
  </si>
  <si>
    <t>qPCR_ITS</t>
  </si>
  <si>
    <t>F</t>
  </si>
  <si>
    <t>Block</t>
  </si>
  <si>
    <t>ITS/16s</t>
  </si>
  <si>
    <t>P_100</t>
  </si>
  <si>
    <t>P_250</t>
  </si>
  <si>
    <t>P_500</t>
  </si>
  <si>
    <t>P_1000</t>
  </si>
  <si>
    <t>Group</t>
  </si>
  <si>
    <t>Orchard</t>
  </si>
  <si>
    <t>cat</t>
  </si>
  <si>
    <t>P_2500</t>
  </si>
  <si>
    <t>SOMTXT</t>
  </si>
  <si>
    <t>resp_rapida</t>
  </si>
  <si>
    <t>rrC</t>
  </si>
  <si>
    <t>r20</t>
  </si>
  <si>
    <t>r30</t>
  </si>
  <si>
    <t>r40</t>
  </si>
  <si>
    <t>20C</t>
  </si>
  <si>
    <t>30C</t>
  </si>
  <si>
    <t>40C</t>
  </si>
  <si>
    <t>Coo_X</t>
  </si>
  <si>
    <t>Coo_Y</t>
  </si>
  <si>
    <t>claysilt</t>
  </si>
  <si>
    <t>LFC</t>
  </si>
  <si>
    <t>HFC</t>
  </si>
  <si>
    <t>OrchardID</t>
  </si>
  <si>
    <t>A1-1</t>
  </si>
  <si>
    <t>A1-2</t>
  </si>
  <si>
    <t>A1-3</t>
  </si>
  <si>
    <t>A2-1</t>
  </si>
  <si>
    <t>A2-2</t>
  </si>
  <si>
    <t>A2-3</t>
  </si>
  <si>
    <t>A3-1</t>
  </si>
  <si>
    <t>A3-2</t>
  </si>
  <si>
    <t>A3-3</t>
  </si>
  <si>
    <t>C2-1</t>
  </si>
  <si>
    <t>C2-2</t>
  </si>
  <si>
    <t>C2-3</t>
  </si>
  <si>
    <t>C4-1</t>
  </si>
  <si>
    <t>C4-2</t>
  </si>
  <si>
    <t>C4-3</t>
  </si>
  <si>
    <t>C5-1</t>
  </si>
  <si>
    <t>C5-2</t>
  </si>
  <si>
    <t>C5-3</t>
  </si>
  <si>
    <t>A1-N</t>
  </si>
  <si>
    <t>A2-N</t>
  </si>
  <si>
    <t>A3-N</t>
  </si>
  <si>
    <t>C2-N</t>
  </si>
  <si>
    <t>C4-N</t>
  </si>
  <si>
    <t>C5-N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</si>
</sst>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E+0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0" borderId="0" xfId="0" applyBorder="1"/>
    <xf numFmtId="2" fontId="0" fillId="0" borderId="0" xfId="0" applyNumberFormat="1" applyBorder="1"/>
    <xf numFmtId="167" fontId="0" fillId="0" borderId="0" xfId="0" applyNumberFormat="1" applyBorder="1"/>
  </cellXfs>
  <cellStyles count="3">
    <cellStyle name="Normal" xfId="0" builtinId="0"/>
    <cellStyle name="Normal 2" xfId="2" xr:uid="{0748E355-5A26-44E2-9DC0-5FAE939E509E}"/>
    <cellStyle name="Normal 3" xfId="1" xr:uid="{BB32BB22-4BAD-4507-B92F-DE1441104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4775-CC11-47A3-82AE-1D25C049E6FC}">
  <dimension ref="A1:AM145"/>
  <sheetViews>
    <sheetView tabSelected="1" zoomScale="115" zoomScaleNormal="115" workbookViewId="0">
      <selection activeCell="V11" sqref="V11"/>
    </sheetView>
  </sheetViews>
  <sheetFormatPr defaultRowHeight="14.5" x14ac:dyDescent="0.35"/>
  <cols>
    <col min="1" max="3" width="8.7265625" style="1"/>
    <col min="4" max="4" width="19.54296875" style="1" bestFit="1" customWidth="1"/>
    <col min="5" max="5" width="19.54296875" style="1" customWidth="1"/>
    <col min="6" max="6" width="14.36328125" style="1" customWidth="1"/>
    <col min="7" max="8" width="8.7265625" style="1"/>
    <col min="9" max="9" width="18.36328125" style="1" customWidth="1"/>
    <col min="10" max="20" width="8.90625" style="2" bestFit="1" customWidth="1"/>
    <col min="21" max="21" width="16.81640625" style="3" bestFit="1" customWidth="1"/>
    <col min="22" max="22" width="15.81640625" style="3" bestFit="1" customWidth="1"/>
    <col min="23" max="23" width="9.54296875" style="2" bestFit="1" customWidth="1"/>
    <col min="24" max="28" width="8.90625" style="2" bestFit="1" customWidth="1"/>
    <col min="29" max="37" width="8.7265625" style="1"/>
    <col min="38" max="38" width="9.36328125" style="1" bestFit="1" customWidth="1"/>
    <col min="39" max="39" width="10.453125" style="1" bestFit="1" customWidth="1"/>
    <col min="40" max="16384" width="8.7265625" style="1"/>
  </cols>
  <sheetData>
    <row r="1" spans="1:37" x14ac:dyDescent="0.35">
      <c r="A1" s="1" t="s">
        <v>112</v>
      </c>
      <c r="B1" s="1" t="s">
        <v>0</v>
      </c>
      <c r="C1" s="1" t="s">
        <v>242</v>
      </c>
      <c r="D1" s="1" t="s">
        <v>237</v>
      </c>
      <c r="E1" s="1" t="s">
        <v>238</v>
      </c>
      <c r="F1" s="1" t="s">
        <v>218</v>
      </c>
      <c r="G1" s="1" t="s">
        <v>224</v>
      </c>
      <c r="H1" s="1" t="s">
        <v>94</v>
      </c>
      <c r="I1" s="1" t="s">
        <v>102</v>
      </c>
      <c r="J1" s="2" t="s">
        <v>99</v>
      </c>
      <c r="K1" s="2" t="s">
        <v>101</v>
      </c>
      <c r="L1" s="2" t="s">
        <v>45</v>
      </c>
      <c r="M1" s="2" t="s">
        <v>44</v>
      </c>
      <c r="N1" s="2" t="s">
        <v>46</v>
      </c>
      <c r="O1" s="2" t="s">
        <v>100</v>
      </c>
      <c r="P1" s="2" t="s">
        <v>109</v>
      </c>
      <c r="Q1" s="2" t="s">
        <v>228</v>
      </c>
      <c r="R1" s="2" t="s">
        <v>110</v>
      </c>
      <c r="S1" s="2" t="s">
        <v>239</v>
      </c>
      <c r="T1" s="2" t="s">
        <v>111</v>
      </c>
      <c r="U1" s="3" t="s">
        <v>215</v>
      </c>
      <c r="V1" s="3" t="s">
        <v>216</v>
      </c>
      <c r="W1" s="2" t="s">
        <v>219</v>
      </c>
      <c r="X1" s="2" t="s">
        <v>220</v>
      </c>
      <c r="Y1" s="2" t="s">
        <v>221</v>
      </c>
      <c r="Z1" s="2" t="s">
        <v>222</v>
      </c>
      <c r="AA1" s="2" t="s">
        <v>223</v>
      </c>
      <c r="AB1" s="2" t="s">
        <v>227</v>
      </c>
      <c r="AC1" s="1" t="s">
        <v>226</v>
      </c>
      <c r="AD1" s="1" t="s">
        <v>229</v>
      </c>
      <c r="AE1" s="1" t="s">
        <v>230</v>
      </c>
      <c r="AF1" s="1" t="s">
        <v>231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</row>
    <row r="2" spans="1:37" x14ac:dyDescent="0.35">
      <c r="A2" s="1" t="s">
        <v>2</v>
      </c>
      <c r="B2" s="1" t="s">
        <v>48</v>
      </c>
      <c r="C2" s="1" t="s">
        <v>243</v>
      </c>
      <c r="D2" s="1">
        <v>320995.59999999998</v>
      </c>
      <c r="E2" s="1">
        <v>6155792.2999999998</v>
      </c>
      <c r="F2" s="1">
        <v>1</v>
      </c>
      <c r="G2" s="1" t="s">
        <v>225</v>
      </c>
      <c r="H2" s="1" t="s">
        <v>97</v>
      </c>
      <c r="I2" s="1" t="s">
        <v>103</v>
      </c>
      <c r="J2" s="2">
        <v>5.95</v>
      </c>
      <c r="K2" s="2">
        <v>1.7185629756577583</v>
      </c>
      <c r="L2" s="2">
        <v>0.27485695855043424</v>
      </c>
      <c r="M2" s="2">
        <v>3.4143666870829761</v>
      </c>
      <c r="N2" s="2">
        <v>12.426221177452579</v>
      </c>
      <c r="O2" s="2">
        <v>0.12804606540000002</v>
      </c>
      <c r="P2" s="2">
        <v>0.166875</v>
      </c>
      <c r="Q2" s="2">
        <f>M2/SUM(P2,R2)</f>
        <v>7.963537462584199</v>
      </c>
      <c r="R2" s="2">
        <v>0.26187500000000008</v>
      </c>
      <c r="S2" s="2">
        <f>P2+R2</f>
        <v>0.42875000000000008</v>
      </c>
      <c r="T2" s="2">
        <v>0.57124999999999992</v>
      </c>
      <c r="U2" s="3">
        <v>10829079267.304546</v>
      </c>
      <c r="V2" s="3">
        <v>75583047.410489455</v>
      </c>
      <c r="W2" s="2">
        <f>V2/U2</f>
        <v>6.9796374691514047E-3</v>
      </c>
      <c r="X2" s="2">
        <v>0.49707271826460753</v>
      </c>
      <c r="Y2" s="2">
        <v>0.54463814652891485</v>
      </c>
      <c r="Z2" s="2">
        <v>0.34871354144153299</v>
      </c>
      <c r="AA2" s="2">
        <v>0.20725825140187598</v>
      </c>
      <c r="AB2" s="2">
        <v>0.31258178519035434</v>
      </c>
      <c r="AC2" s="1" t="s">
        <v>240</v>
      </c>
    </row>
    <row r="3" spans="1:37" x14ac:dyDescent="0.35">
      <c r="A3" s="1" t="s">
        <v>1</v>
      </c>
      <c r="B3" s="1" t="s">
        <v>47</v>
      </c>
      <c r="C3" s="1" t="s">
        <v>243</v>
      </c>
      <c r="D3" s="1">
        <v>320995.59999999998</v>
      </c>
      <c r="E3" s="1">
        <v>6155792.2999999998</v>
      </c>
      <c r="F3" s="1">
        <v>1</v>
      </c>
      <c r="G3" s="1" t="s">
        <v>225</v>
      </c>
      <c r="H3" s="1" t="s">
        <v>97</v>
      </c>
      <c r="I3" s="1" t="s">
        <v>104</v>
      </c>
      <c r="J3" s="2">
        <v>6.3</v>
      </c>
      <c r="K3" s="2">
        <v>1.4198884002497709</v>
      </c>
      <c r="L3" s="2">
        <v>0.21483442130125008</v>
      </c>
      <c r="M3" s="2">
        <v>2.8047703850994705</v>
      </c>
      <c r="N3" s="2">
        <v>13.060565624904132</v>
      </c>
      <c r="O3" s="2">
        <v>0.14472066960000002</v>
      </c>
      <c r="P3" s="2">
        <v>0.15437499999999998</v>
      </c>
      <c r="Q3" s="2">
        <f t="shared" ref="Q3:Q66" si="0">M3/SUM(P3,R3)</f>
        <v>5.70945625465541</v>
      </c>
      <c r="R3" s="2">
        <v>0.33687500000000009</v>
      </c>
      <c r="S3" s="2">
        <f t="shared" ref="S3:S66" si="1">P3+R3</f>
        <v>0.49125000000000008</v>
      </c>
      <c r="T3" s="2">
        <v>0.50874999999999992</v>
      </c>
      <c r="U3" s="3">
        <v>9271187817.753109</v>
      </c>
      <c r="V3" s="3">
        <v>88078433.270280927</v>
      </c>
      <c r="W3" s="2">
        <f t="shared" ref="W3:W66" si="2">V3/U3</f>
        <v>9.500231793559643E-3</v>
      </c>
      <c r="X3" s="2">
        <v>0.49707271826460753</v>
      </c>
      <c r="Y3" s="2">
        <v>0.54463814652891485</v>
      </c>
      <c r="Z3" s="2">
        <v>0.34871354144153299</v>
      </c>
      <c r="AA3" s="2">
        <v>0.20725825140187598</v>
      </c>
      <c r="AB3" s="2">
        <v>0.31258178519035434</v>
      </c>
      <c r="AC3" s="1" t="s">
        <v>240</v>
      </c>
    </row>
    <row r="4" spans="1:37" x14ac:dyDescent="0.35">
      <c r="A4" s="1" t="s">
        <v>4</v>
      </c>
      <c r="B4" s="1" t="s">
        <v>50</v>
      </c>
      <c r="C4" s="1" t="s">
        <v>244</v>
      </c>
      <c r="D4" s="1">
        <v>321331.00000000012</v>
      </c>
      <c r="E4" s="1">
        <v>6155264</v>
      </c>
      <c r="F4" s="1">
        <v>1</v>
      </c>
      <c r="G4" s="1" t="s">
        <v>225</v>
      </c>
      <c r="H4" s="1" t="s">
        <v>97</v>
      </c>
      <c r="I4" s="1" t="s">
        <v>105</v>
      </c>
      <c r="J4" s="2">
        <v>6.39</v>
      </c>
      <c r="K4" s="2">
        <v>5.178344483088523</v>
      </c>
      <c r="L4" s="2">
        <v>0.20988858310603398</v>
      </c>
      <c r="M4" s="2">
        <v>2.9786815508446223</v>
      </c>
      <c r="N4" s="2">
        <v>14.252261809473817</v>
      </c>
      <c r="O4" s="2">
        <v>0.10455035800000001</v>
      </c>
      <c r="P4" s="2">
        <v>0.20875000000000005</v>
      </c>
      <c r="Q4" s="2">
        <f t="shared" si="0"/>
        <v>4.5861147819008803</v>
      </c>
      <c r="R4" s="2">
        <v>0.44075000000000003</v>
      </c>
      <c r="S4" s="2">
        <f t="shared" si="1"/>
        <v>0.64950000000000008</v>
      </c>
      <c r="T4" s="2">
        <v>0.35049999999999998</v>
      </c>
      <c r="U4" s="3">
        <v>8864373483.9869823</v>
      </c>
      <c r="V4" s="3">
        <v>31646061.508622319</v>
      </c>
      <c r="W4" s="2">
        <f t="shared" si="2"/>
        <v>3.5700279964274114E-3</v>
      </c>
      <c r="X4" s="2">
        <v>0.26025016294386727</v>
      </c>
      <c r="Y4" s="2">
        <v>0.27363232818160449</v>
      </c>
      <c r="Z4" s="2">
        <v>0.38919906392156089</v>
      </c>
      <c r="AA4" s="2">
        <v>0.43633473564233372</v>
      </c>
      <c r="AB4" s="2">
        <v>0.36792466988972189</v>
      </c>
      <c r="AC4" s="1" t="s">
        <v>241</v>
      </c>
    </row>
    <row r="5" spans="1:37" x14ac:dyDescent="0.35">
      <c r="A5" s="1" t="s">
        <v>3</v>
      </c>
      <c r="B5" s="1" t="s">
        <v>49</v>
      </c>
      <c r="C5" s="1" t="s">
        <v>244</v>
      </c>
      <c r="D5" s="1">
        <v>321331.00000000012</v>
      </c>
      <c r="E5" s="1">
        <v>6155264</v>
      </c>
      <c r="F5" s="1">
        <v>1</v>
      </c>
      <c r="G5" s="1" t="s">
        <v>225</v>
      </c>
      <c r="H5" s="1" t="s">
        <v>97</v>
      </c>
      <c r="I5" s="1" t="s">
        <v>106</v>
      </c>
      <c r="J5" s="2">
        <v>6.53</v>
      </c>
      <c r="K5" s="2">
        <v>1.8891714388195453</v>
      </c>
      <c r="L5" s="2">
        <v>0.18916701205855091</v>
      </c>
      <c r="M5" s="2">
        <v>2.8436229263340151</v>
      </c>
      <c r="N5" s="2">
        <v>15.026570806016014</v>
      </c>
      <c r="O5" s="2">
        <v>5.3431254599999999E-2</v>
      </c>
      <c r="P5" s="2">
        <v>0.24187500000000001</v>
      </c>
      <c r="Q5" s="2">
        <f t="shared" si="0"/>
        <v>4.1137402189280508</v>
      </c>
      <c r="R5" s="2">
        <v>0.44937500000000002</v>
      </c>
      <c r="S5" s="2">
        <f t="shared" si="1"/>
        <v>0.69125000000000003</v>
      </c>
      <c r="T5" s="2">
        <v>0.30875000000000002</v>
      </c>
      <c r="U5" s="3">
        <v>7181372963.5203066</v>
      </c>
      <c r="V5" s="3">
        <v>12229545.525326781</v>
      </c>
      <c r="W5" s="2">
        <f t="shared" si="2"/>
        <v>1.7029536813433878E-3</v>
      </c>
      <c r="X5" s="2">
        <v>0.26025016294386727</v>
      </c>
      <c r="Y5" s="2">
        <v>0.27363232818160449</v>
      </c>
      <c r="Z5" s="2">
        <v>0.38919906392156089</v>
      </c>
      <c r="AA5" s="2">
        <v>0.43633473564233372</v>
      </c>
      <c r="AB5" s="2">
        <v>0.36792466988972189</v>
      </c>
      <c r="AC5" s="1" t="s">
        <v>241</v>
      </c>
    </row>
    <row r="6" spans="1:37" x14ac:dyDescent="0.35">
      <c r="A6" s="1" t="s">
        <v>6</v>
      </c>
      <c r="B6" s="1" t="s">
        <v>52</v>
      </c>
      <c r="C6" s="1" t="s">
        <v>245</v>
      </c>
      <c r="D6" s="1">
        <v>328312</v>
      </c>
      <c r="E6" s="1">
        <v>6156782</v>
      </c>
      <c r="F6" s="1">
        <v>1</v>
      </c>
      <c r="G6" s="1" t="s">
        <v>225</v>
      </c>
      <c r="H6" s="1" t="s">
        <v>97</v>
      </c>
      <c r="I6" s="1" t="s">
        <v>107</v>
      </c>
      <c r="J6" s="2">
        <v>5.63</v>
      </c>
      <c r="K6" s="2">
        <v>2.7876315524590298</v>
      </c>
      <c r="L6" s="2">
        <v>0.40171588791964208</v>
      </c>
      <c r="M6" s="2">
        <v>4.4646597410698998</v>
      </c>
      <c r="N6" s="2">
        <v>11.118311989210497</v>
      </c>
      <c r="O6" s="2">
        <v>5.0302490999999991E-2</v>
      </c>
      <c r="P6" s="2">
        <v>0.11687500000000001</v>
      </c>
      <c r="Q6" s="2">
        <f t="shared" si="0"/>
        <v>10.725909287855613</v>
      </c>
      <c r="R6" s="2">
        <v>0.29937500000000006</v>
      </c>
      <c r="S6" s="2">
        <f t="shared" si="1"/>
        <v>0.41625000000000006</v>
      </c>
      <c r="T6" s="2">
        <v>0.58374999999999988</v>
      </c>
      <c r="U6" s="3">
        <v>17020169886.246632</v>
      </c>
      <c r="V6" s="3">
        <v>199179156.43487698</v>
      </c>
      <c r="W6" s="2">
        <f t="shared" si="2"/>
        <v>1.1702536329900343E-2</v>
      </c>
      <c r="X6" s="2">
        <v>0.28963016543863113</v>
      </c>
      <c r="Y6" s="2">
        <v>0.50947355194859378</v>
      </c>
      <c r="Z6" s="2">
        <v>0.58315643879119383</v>
      </c>
      <c r="AA6" s="2">
        <v>0.67081834991939548</v>
      </c>
      <c r="AB6" s="2">
        <v>0.8159957966131427</v>
      </c>
      <c r="AC6" s="1" t="s">
        <v>241</v>
      </c>
    </row>
    <row r="7" spans="1:37" x14ac:dyDescent="0.35">
      <c r="A7" s="1" t="s">
        <v>5</v>
      </c>
      <c r="B7" s="1" t="s">
        <v>51</v>
      </c>
      <c r="C7" s="1" t="s">
        <v>245</v>
      </c>
      <c r="D7" s="1">
        <v>328312</v>
      </c>
      <c r="E7" s="1">
        <v>6156782</v>
      </c>
      <c r="F7" s="1">
        <v>1</v>
      </c>
      <c r="G7" s="1" t="s">
        <v>225</v>
      </c>
      <c r="H7" s="1" t="s">
        <v>97</v>
      </c>
      <c r="I7" s="1" t="s">
        <v>108</v>
      </c>
      <c r="J7" s="2">
        <v>6.12</v>
      </c>
      <c r="K7" s="2">
        <v>2.3546897142384093</v>
      </c>
      <c r="L7" s="2">
        <v>0.31204511730763385</v>
      </c>
      <c r="M7" s="2">
        <v>3.6961915210314169</v>
      </c>
      <c r="N7" s="2">
        <v>11.856324527975637</v>
      </c>
      <c r="O7" s="2">
        <v>4.7481249000000003E-2</v>
      </c>
      <c r="P7" s="2">
        <v>0.13375000000000001</v>
      </c>
      <c r="Q7" s="2">
        <f t="shared" si="0"/>
        <v>9.1546539220592358</v>
      </c>
      <c r="R7" s="2">
        <v>0.27000000000000007</v>
      </c>
      <c r="S7" s="2">
        <f t="shared" si="1"/>
        <v>0.40375000000000005</v>
      </c>
      <c r="T7" s="2">
        <v>0.59624999999999995</v>
      </c>
      <c r="U7" s="3">
        <v>6937727314.2405214</v>
      </c>
      <c r="V7" s="3">
        <v>33423358.73325137</v>
      </c>
      <c r="W7" s="2">
        <f t="shared" si="2"/>
        <v>4.8176235846926268E-3</v>
      </c>
      <c r="X7" s="2">
        <v>0.28963016543863113</v>
      </c>
      <c r="Y7" s="2">
        <v>0.50947355194859378</v>
      </c>
      <c r="Z7" s="2">
        <v>0.58315643879119383</v>
      </c>
      <c r="AA7" s="2">
        <v>0.67081834991939548</v>
      </c>
      <c r="AB7" s="2">
        <v>0.8159957966131427</v>
      </c>
      <c r="AC7" s="1" t="s">
        <v>241</v>
      </c>
    </row>
    <row r="8" spans="1:37" x14ac:dyDescent="0.35">
      <c r="A8" s="1" t="s">
        <v>37</v>
      </c>
      <c r="B8" s="1" t="s">
        <v>53</v>
      </c>
      <c r="C8" s="1" t="s">
        <v>261</v>
      </c>
      <c r="D8" s="1">
        <v>328211.7</v>
      </c>
      <c r="E8" s="1">
        <v>6156583.5</v>
      </c>
      <c r="F8" s="1">
        <v>1</v>
      </c>
      <c r="G8" s="1" t="s">
        <v>43</v>
      </c>
      <c r="H8" s="1" t="s">
        <v>97</v>
      </c>
      <c r="I8" s="1" t="s">
        <v>43</v>
      </c>
      <c r="J8" s="2">
        <v>6.36</v>
      </c>
      <c r="K8" s="2">
        <v>2.5209442693661019</v>
      </c>
      <c r="L8" s="2">
        <v>0.28946778966541153</v>
      </c>
      <c r="M8" s="2">
        <v>3.7734257591423805</v>
      </c>
      <c r="N8" s="2">
        <v>13.039078312192405</v>
      </c>
      <c r="O8" s="2">
        <v>2.58055944E-2</v>
      </c>
      <c r="P8" s="2">
        <v>0.10125000000000002</v>
      </c>
      <c r="Q8" s="2">
        <f t="shared" si="0"/>
        <v>16.450902492173864</v>
      </c>
      <c r="R8" s="2">
        <v>0.12812500000000002</v>
      </c>
      <c r="S8" s="2">
        <f t="shared" si="1"/>
        <v>0.22937500000000005</v>
      </c>
      <c r="T8" s="2">
        <v>0.770625</v>
      </c>
      <c r="U8" s="3">
        <v>8864373483.9869823</v>
      </c>
      <c r="V8" s="3">
        <v>25248403.488290917</v>
      </c>
      <c r="W8" s="2">
        <f t="shared" si="2"/>
        <v>2.8483009582009164E-3</v>
      </c>
      <c r="X8" s="2">
        <v>0.61376512253958515</v>
      </c>
      <c r="Y8" s="2">
        <v>0.65756015237669185</v>
      </c>
      <c r="Z8" s="2">
        <v>0.68288908606549281</v>
      </c>
      <c r="AA8" s="2">
        <v>0.73568576669513164</v>
      </c>
      <c r="AB8" s="2">
        <v>0.82890746418839312</v>
      </c>
      <c r="AC8" s="1" t="s">
        <v>217</v>
      </c>
    </row>
    <row r="9" spans="1:37" x14ac:dyDescent="0.35">
      <c r="A9" s="1" t="s">
        <v>38</v>
      </c>
      <c r="B9" s="1" t="s">
        <v>54</v>
      </c>
      <c r="C9" s="1" t="s">
        <v>261</v>
      </c>
      <c r="D9" s="1">
        <v>328211.7</v>
      </c>
      <c r="E9" s="1">
        <v>6156583.5</v>
      </c>
      <c r="F9" s="1">
        <v>1</v>
      </c>
      <c r="G9" s="1" t="s">
        <v>43</v>
      </c>
      <c r="H9" s="1" t="s">
        <v>97</v>
      </c>
      <c r="I9" s="1" t="s">
        <v>43</v>
      </c>
      <c r="J9" s="2">
        <v>6.2</v>
      </c>
      <c r="K9" s="2">
        <v>2.7313443362436645</v>
      </c>
      <c r="L9" s="2">
        <v>0.3660828893299275</v>
      </c>
      <c r="M9" s="2">
        <v>6.1762809667942182</v>
      </c>
      <c r="N9" s="2">
        <v>16.853924061010737</v>
      </c>
      <c r="O9" s="2">
        <v>4.28136634E-2</v>
      </c>
      <c r="P9" s="2">
        <v>7.6250000000000012E-2</v>
      </c>
      <c r="Q9" s="2">
        <f t="shared" si="0"/>
        <v>47.739369791646126</v>
      </c>
      <c r="R9" s="2">
        <v>5.3125000000000006E-2</v>
      </c>
      <c r="S9" s="2">
        <f t="shared" si="1"/>
        <v>0.12937500000000002</v>
      </c>
      <c r="T9" s="2">
        <v>0.87062499999999998</v>
      </c>
      <c r="U9" s="3">
        <v>7281210469.2487411</v>
      </c>
      <c r="V9" s="3">
        <v>62086171.10979151</v>
      </c>
      <c r="W9" s="2">
        <f t="shared" si="2"/>
        <v>8.5269024116257173E-3</v>
      </c>
      <c r="X9" s="2">
        <v>0.61376512253958515</v>
      </c>
      <c r="Y9" s="2">
        <v>0.65756015237669185</v>
      </c>
      <c r="Z9" s="2">
        <v>0.68288908606549281</v>
      </c>
      <c r="AA9" s="2">
        <v>0.73568576669513164</v>
      </c>
      <c r="AB9" s="2">
        <v>0.82890746418839312</v>
      </c>
      <c r="AC9" s="1" t="s">
        <v>217</v>
      </c>
    </row>
    <row r="10" spans="1:37" x14ac:dyDescent="0.35">
      <c r="A10" s="1" t="s">
        <v>8</v>
      </c>
      <c r="B10" s="1" t="s">
        <v>56</v>
      </c>
      <c r="C10" s="1" t="s">
        <v>246</v>
      </c>
      <c r="D10" s="1">
        <v>314903.59999999998</v>
      </c>
      <c r="E10" s="1">
        <v>6129147.5</v>
      </c>
      <c r="F10" s="1">
        <v>2</v>
      </c>
      <c r="G10" s="1" t="s">
        <v>225</v>
      </c>
      <c r="H10" s="1" t="s">
        <v>97</v>
      </c>
      <c r="I10" s="1" t="s">
        <v>103</v>
      </c>
      <c r="J10" s="2">
        <v>6.3</v>
      </c>
      <c r="K10" s="2">
        <v>3.8833570988985811</v>
      </c>
      <c r="L10" s="2">
        <v>0.46702807845935829</v>
      </c>
      <c r="M10" s="2">
        <v>5.8471880111174617</v>
      </c>
      <c r="N10" s="2">
        <v>12.519181630411577</v>
      </c>
      <c r="O10" s="2">
        <v>0.10462040040000001</v>
      </c>
      <c r="P10" s="2">
        <v>0.19187499999999999</v>
      </c>
      <c r="Q10" s="2">
        <f t="shared" si="0"/>
        <v>17.134616882395488</v>
      </c>
      <c r="R10" s="2">
        <v>0.14937500000000006</v>
      </c>
      <c r="S10" s="2">
        <f t="shared" si="1"/>
        <v>0.34125000000000005</v>
      </c>
      <c r="T10" s="2">
        <v>0.65874999999999995</v>
      </c>
      <c r="U10" s="3">
        <v>10247245064.795969</v>
      </c>
      <c r="V10" s="3">
        <v>22064743.338389277</v>
      </c>
      <c r="W10" s="2">
        <f t="shared" si="2"/>
        <v>2.1532366210496798E-3</v>
      </c>
      <c r="X10" s="2">
        <v>0.55592821621999045</v>
      </c>
      <c r="Y10" s="2">
        <v>0.49185376030031985</v>
      </c>
      <c r="Z10" s="2">
        <v>0.40011498835269749</v>
      </c>
      <c r="AA10" s="2">
        <v>0.27827923489731715</v>
      </c>
      <c r="AB10" s="2">
        <v>0.27187198793071909</v>
      </c>
      <c r="AC10" s="1" t="s">
        <v>240</v>
      </c>
    </row>
    <row r="11" spans="1:37" x14ac:dyDescent="0.35">
      <c r="A11" s="1" t="s">
        <v>7</v>
      </c>
      <c r="B11" s="1" t="s">
        <v>55</v>
      </c>
      <c r="C11" s="1" t="s">
        <v>246</v>
      </c>
      <c r="D11" s="1">
        <v>314903.59999999998</v>
      </c>
      <c r="E11" s="1">
        <v>6129147.5</v>
      </c>
      <c r="F11" s="1">
        <v>2</v>
      </c>
      <c r="G11" s="1" t="s">
        <v>225</v>
      </c>
      <c r="H11" s="1" t="s">
        <v>97</v>
      </c>
      <c r="I11" s="1" t="s">
        <v>104</v>
      </c>
      <c r="J11" s="2">
        <v>6.41</v>
      </c>
      <c r="K11" s="2">
        <v>2.9510055014175203</v>
      </c>
      <c r="L11" s="2">
        <v>0.38870045419834731</v>
      </c>
      <c r="M11" s="2">
        <v>4.5487311465054034</v>
      </c>
      <c r="N11" s="2">
        <v>11.703613469838201</v>
      </c>
      <c r="O11" s="2">
        <v>0.13354144699999998</v>
      </c>
      <c r="P11" s="2">
        <v>0.13375000000000001</v>
      </c>
      <c r="Q11" s="2">
        <f t="shared" si="0"/>
        <v>13.329615081334513</v>
      </c>
      <c r="R11" s="2">
        <v>0.20750000000000007</v>
      </c>
      <c r="S11" s="2">
        <f t="shared" si="1"/>
        <v>0.34125000000000005</v>
      </c>
      <c r="T11" s="2">
        <v>0.65874999999999995</v>
      </c>
      <c r="U11" s="3">
        <v>10071913664.829483</v>
      </c>
      <c r="V11" s="3">
        <v>10804915.146820888</v>
      </c>
      <c r="W11" s="2">
        <f t="shared" si="2"/>
        <v>1.0727767836762742E-3</v>
      </c>
      <c r="X11" s="2">
        <v>0.55592821621999045</v>
      </c>
      <c r="Y11" s="2">
        <v>0.49185376030031985</v>
      </c>
      <c r="Z11" s="2">
        <v>0.40011498835269749</v>
      </c>
      <c r="AA11" s="2">
        <v>0.27827923489731715</v>
      </c>
      <c r="AB11" s="2">
        <v>0.27187198793071909</v>
      </c>
      <c r="AC11" s="1" t="s">
        <v>240</v>
      </c>
    </row>
    <row r="12" spans="1:37" x14ac:dyDescent="0.35">
      <c r="A12" s="1" t="s">
        <v>10</v>
      </c>
      <c r="B12" s="1" t="s">
        <v>58</v>
      </c>
      <c r="C12" s="1" t="s">
        <v>247</v>
      </c>
      <c r="D12" s="1">
        <v>311324</v>
      </c>
      <c r="E12" s="1">
        <v>6124637</v>
      </c>
      <c r="F12" s="1">
        <v>2</v>
      </c>
      <c r="G12" s="1" t="s">
        <v>225</v>
      </c>
      <c r="H12" s="1" t="s">
        <v>97</v>
      </c>
      <c r="I12" s="1" t="s">
        <v>105</v>
      </c>
      <c r="J12" s="2">
        <v>6.47</v>
      </c>
      <c r="K12" s="2">
        <v>2.1162244841678803</v>
      </c>
      <c r="L12" s="2">
        <v>0.49438333353783825</v>
      </c>
      <c r="M12" s="2">
        <v>5.245013314518947</v>
      </c>
      <c r="N12" s="2">
        <v>10.623443819084084</v>
      </c>
      <c r="O12" s="2">
        <v>8.2705824399999989E-2</v>
      </c>
      <c r="P12" s="2">
        <v>0.14625000000000002</v>
      </c>
      <c r="Q12" s="2">
        <f t="shared" si="0"/>
        <v>11.448869445061822</v>
      </c>
      <c r="R12" s="2">
        <v>0.31187500000000001</v>
      </c>
      <c r="S12" s="2">
        <f t="shared" si="1"/>
        <v>0.458125</v>
      </c>
      <c r="T12" s="2">
        <v>0.541875</v>
      </c>
      <c r="U12" s="3">
        <v>7433575190.4406109</v>
      </c>
      <c r="V12" s="3">
        <v>25618991.79341317</v>
      </c>
      <c r="W12" s="2">
        <f t="shared" si="2"/>
        <v>3.4463890035522264E-3</v>
      </c>
      <c r="X12" s="2">
        <v>0.31337608294794195</v>
      </c>
      <c r="Y12" s="2">
        <v>0.25145027478255194</v>
      </c>
      <c r="Z12" s="2">
        <v>0.45285291789002369</v>
      </c>
      <c r="AA12" s="2">
        <v>0.41435543800134295</v>
      </c>
      <c r="AB12" s="2">
        <v>0.41958575326236969</v>
      </c>
      <c r="AC12" s="1" t="s">
        <v>241</v>
      </c>
    </row>
    <row r="13" spans="1:37" x14ac:dyDescent="0.35">
      <c r="A13" s="1" t="s">
        <v>9</v>
      </c>
      <c r="B13" s="1" t="s">
        <v>57</v>
      </c>
      <c r="C13" s="1" t="s">
        <v>247</v>
      </c>
      <c r="D13" s="1">
        <v>311324</v>
      </c>
      <c r="E13" s="1">
        <v>6124637</v>
      </c>
      <c r="F13" s="1">
        <v>2</v>
      </c>
      <c r="G13" s="1" t="s">
        <v>225</v>
      </c>
      <c r="H13" s="1" t="s">
        <v>97</v>
      </c>
      <c r="I13" s="1" t="s">
        <v>106</v>
      </c>
      <c r="J13" s="2">
        <v>6.12</v>
      </c>
      <c r="K13" s="2">
        <v>3.1173519872540298</v>
      </c>
      <c r="L13" s="2">
        <v>0.31876167887687845</v>
      </c>
      <c r="M13" s="2">
        <v>4.1784685791476246</v>
      </c>
      <c r="N13" s="2">
        <v>13.10566902098696</v>
      </c>
      <c r="O13" s="2">
        <v>5.6620836200000003E-2</v>
      </c>
      <c r="P13" s="2">
        <v>0.18375000000000002</v>
      </c>
      <c r="Q13" s="2">
        <f t="shared" si="0"/>
        <v>7.5972155984502256</v>
      </c>
      <c r="R13" s="2">
        <v>0.36625000000000002</v>
      </c>
      <c r="S13" s="2">
        <f t="shared" si="1"/>
        <v>0.55000000000000004</v>
      </c>
      <c r="T13" s="2">
        <v>0.44999999999999996</v>
      </c>
      <c r="U13" s="3">
        <v>11404517532.550751</v>
      </c>
      <c r="V13" s="3">
        <v>35172115.002442613</v>
      </c>
      <c r="W13" s="2">
        <f t="shared" si="2"/>
        <v>3.0840511141356428E-3</v>
      </c>
      <c r="X13" s="2">
        <v>0.31337608294794195</v>
      </c>
      <c r="Y13" s="2">
        <v>0.25145027478255194</v>
      </c>
      <c r="Z13" s="2">
        <v>0.45285291789002369</v>
      </c>
      <c r="AA13" s="2">
        <v>0.41435543800134295</v>
      </c>
      <c r="AB13" s="2">
        <v>0.41958575326236969</v>
      </c>
      <c r="AC13" s="1" t="s">
        <v>241</v>
      </c>
    </row>
    <row r="14" spans="1:37" x14ac:dyDescent="0.35">
      <c r="A14" s="1" t="s">
        <v>12</v>
      </c>
      <c r="B14" s="1" t="s">
        <v>60</v>
      </c>
      <c r="C14" s="1" t="s">
        <v>248</v>
      </c>
      <c r="D14" s="1">
        <v>323050</v>
      </c>
      <c r="E14" s="1">
        <v>6124499</v>
      </c>
      <c r="F14" s="1">
        <v>2</v>
      </c>
      <c r="G14" s="1" t="s">
        <v>225</v>
      </c>
      <c r="H14" s="1" t="s">
        <v>97</v>
      </c>
      <c r="I14" s="1" t="s">
        <v>107</v>
      </c>
      <c r="J14" s="2">
        <v>6.11</v>
      </c>
      <c r="K14" s="2">
        <v>2.8138146684475869</v>
      </c>
      <c r="L14" s="2">
        <v>0.38507169782277789</v>
      </c>
      <c r="M14" s="2">
        <v>4.545403661521088</v>
      </c>
      <c r="N14" s="2">
        <v>11.797050768643699</v>
      </c>
      <c r="O14" s="2">
        <v>0.12929825480000001</v>
      </c>
      <c r="P14" s="2">
        <v>0.18375000000000002</v>
      </c>
      <c r="Q14" s="2">
        <f t="shared" si="0"/>
        <v>7.9656581143852589</v>
      </c>
      <c r="R14" s="2">
        <v>0.38687499999999986</v>
      </c>
      <c r="S14" s="2">
        <f t="shared" si="1"/>
        <v>0.57062499999999994</v>
      </c>
      <c r="T14" s="2">
        <v>0.42937500000000006</v>
      </c>
      <c r="U14" s="3">
        <v>7721239444.456234</v>
      </c>
      <c r="V14" s="3">
        <v>15610118.67599568</v>
      </c>
      <c r="W14" s="2">
        <f t="shared" si="2"/>
        <v>2.021711512547843E-3</v>
      </c>
      <c r="X14" s="2">
        <v>0.38477299041896618</v>
      </c>
      <c r="Y14" s="2">
        <v>0.60726670652862591</v>
      </c>
      <c r="Z14" s="2">
        <v>0.66616978671903515</v>
      </c>
      <c r="AA14" s="2">
        <v>0.80027370739079839</v>
      </c>
      <c r="AB14" s="2">
        <v>0.85934985775928396</v>
      </c>
      <c r="AC14" s="1" t="s">
        <v>241</v>
      </c>
    </row>
    <row r="15" spans="1:37" x14ac:dyDescent="0.35">
      <c r="A15" s="1" t="s">
        <v>11</v>
      </c>
      <c r="B15" s="1" t="s">
        <v>59</v>
      </c>
      <c r="C15" s="1" t="s">
        <v>248</v>
      </c>
      <c r="D15" s="1">
        <v>323050</v>
      </c>
      <c r="E15" s="1">
        <v>6124499</v>
      </c>
      <c r="F15" s="1">
        <v>2</v>
      </c>
      <c r="G15" s="1" t="s">
        <v>225</v>
      </c>
      <c r="H15" s="1" t="s">
        <v>97</v>
      </c>
      <c r="I15" s="1" t="s">
        <v>108</v>
      </c>
      <c r="J15" s="2">
        <v>6.41</v>
      </c>
      <c r="K15" s="2">
        <v>2.1821470790115391</v>
      </c>
      <c r="L15" s="2">
        <v>0.23443124118072217</v>
      </c>
      <c r="M15" s="2">
        <v>3.131276449347753</v>
      </c>
      <c r="N15" s="2">
        <v>13.375990768723835</v>
      </c>
      <c r="O15" s="2">
        <v>7.3112252799999999E-2</v>
      </c>
      <c r="P15" s="2">
        <v>0.17937500000000001</v>
      </c>
      <c r="Q15" s="2">
        <f t="shared" si="0"/>
        <v>6.0654265362668323</v>
      </c>
      <c r="R15" s="2">
        <v>0.33687500000000009</v>
      </c>
      <c r="S15" s="2">
        <f t="shared" si="1"/>
        <v>0.5162500000000001</v>
      </c>
      <c r="T15" s="2">
        <v>0.4837499999999999</v>
      </c>
      <c r="U15" s="3">
        <v>7964861922.2191505</v>
      </c>
      <c r="V15" s="3">
        <v>23560005.467045054</v>
      </c>
      <c r="W15" s="2">
        <f t="shared" si="2"/>
        <v>2.9579929567041161E-3</v>
      </c>
      <c r="X15" s="2">
        <v>0.38477299041896618</v>
      </c>
      <c r="Y15" s="2">
        <v>0.60726670652862591</v>
      </c>
      <c r="Z15" s="2">
        <v>0.66616978671903515</v>
      </c>
      <c r="AA15" s="2">
        <v>0.80027370739079839</v>
      </c>
      <c r="AB15" s="2">
        <v>0.85934985775928396</v>
      </c>
      <c r="AC15" s="1" t="s">
        <v>241</v>
      </c>
    </row>
    <row r="16" spans="1:37" x14ac:dyDescent="0.35">
      <c r="A16" s="1" t="s">
        <v>39</v>
      </c>
      <c r="B16" s="1" t="s">
        <v>98</v>
      </c>
      <c r="C16" s="1" t="s">
        <v>262</v>
      </c>
      <c r="D16" s="1">
        <v>323150</v>
      </c>
      <c r="E16" s="1">
        <v>6124539</v>
      </c>
      <c r="F16" s="1">
        <v>2</v>
      </c>
      <c r="G16" s="1" t="s">
        <v>43</v>
      </c>
      <c r="H16" s="1" t="s">
        <v>97</v>
      </c>
      <c r="I16" s="1" t="s">
        <v>43</v>
      </c>
      <c r="J16" s="2">
        <v>6.77</v>
      </c>
      <c r="K16" s="2">
        <v>5.9192786892370091</v>
      </c>
      <c r="L16" s="2">
        <v>0.88358449656983606</v>
      </c>
      <c r="M16" s="2">
        <v>9.2809313711594861</v>
      </c>
      <c r="N16" s="2">
        <v>10.391614311534886</v>
      </c>
      <c r="O16" s="2">
        <v>6.4450351200000006E-2</v>
      </c>
      <c r="P16" s="2">
        <v>0.17624999999999999</v>
      </c>
      <c r="Q16" s="2">
        <f t="shared" si="0"/>
        <v>26.516946774741392</v>
      </c>
      <c r="R16" s="2">
        <v>0.17374999999999999</v>
      </c>
      <c r="S16" s="2">
        <f t="shared" si="1"/>
        <v>0.35</v>
      </c>
      <c r="T16" s="2">
        <v>0.65</v>
      </c>
      <c r="U16" s="3">
        <v>1305235326.215214</v>
      </c>
      <c r="V16" s="3">
        <v>130203.06341608027</v>
      </c>
      <c r="W16" s="2">
        <f t="shared" si="2"/>
        <v>9.9754474002500073E-5</v>
      </c>
      <c r="X16" s="2">
        <v>0.84937810029282701</v>
      </c>
      <c r="Y16" s="2">
        <v>0.77656516710156298</v>
      </c>
      <c r="Z16" s="2">
        <v>0.73903606228102603</v>
      </c>
      <c r="AA16" s="2">
        <v>0.82561945038806894</v>
      </c>
      <c r="AB16" s="2">
        <v>0.86005905218570144</v>
      </c>
      <c r="AC16" s="1" t="s">
        <v>217</v>
      </c>
    </row>
    <row r="17" spans="1:29" x14ac:dyDescent="0.35">
      <c r="A17" s="1" t="s">
        <v>40</v>
      </c>
      <c r="B17" s="1" t="s">
        <v>61</v>
      </c>
      <c r="C17" s="1" t="s">
        <v>262</v>
      </c>
      <c r="D17" s="1">
        <v>323150</v>
      </c>
      <c r="E17" s="1">
        <v>6124539</v>
      </c>
      <c r="F17" s="1">
        <v>2</v>
      </c>
      <c r="G17" s="1" t="s">
        <v>43</v>
      </c>
      <c r="H17" s="1" t="s">
        <v>97</v>
      </c>
      <c r="I17" s="1" t="s">
        <v>43</v>
      </c>
      <c r="J17" s="2">
        <v>6.89</v>
      </c>
      <c r="K17" s="2">
        <v>5.4279648816891166</v>
      </c>
      <c r="L17" s="2">
        <v>0.62720571488319909</v>
      </c>
      <c r="M17" s="2">
        <v>9.2461606961843614</v>
      </c>
      <c r="N17" s="2">
        <v>14.721075827777327</v>
      </c>
      <c r="O17" s="2">
        <v>8.3125320799999999E-2</v>
      </c>
      <c r="P17" s="2">
        <v>0.15125000000000002</v>
      </c>
      <c r="Q17" s="2">
        <f t="shared" si="0"/>
        <v>26.417601989098173</v>
      </c>
      <c r="R17" s="2">
        <v>0.19875000000000001</v>
      </c>
      <c r="S17" s="2">
        <f t="shared" si="1"/>
        <v>0.35000000000000003</v>
      </c>
      <c r="T17" s="2">
        <v>0.65</v>
      </c>
      <c r="U17" s="3">
        <v>2837720299.8888659</v>
      </c>
      <c r="V17" s="3">
        <v>25363768.929200798</v>
      </c>
      <c r="W17" s="2">
        <f t="shared" si="2"/>
        <v>8.9380792498098289E-3</v>
      </c>
      <c r="X17" s="2">
        <v>0.84937810029282701</v>
      </c>
      <c r="Y17" s="2">
        <v>0.77656516710156298</v>
      </c>
      <c r="Z17" s="2">
        <v>0.73903606228102603</v>
      </c>
      <c r="AA17" s="2">
        <v>0.82561945038806894</v>
      </c>
      <c r="AB17" s="2">
        <v>0.86005905218570144</v>
      </c>
      <c r="AC17" s="1" t="s">
        <v>217</v>
      </c>
    </row>
    <row r="18" spans="1:29" x14ac:dyDescent="0.35">
      <c r="A18" s="1" t="s">
        <v>14</v>
      </c>
      <c r="B18" s="1" t="s">
        <v>63</v>
      </c>
      <c r="C18" s="1" t="s">
        <v>249</v>
      </c>
      <c r="D18" s="1">
        <v>303660</v>
      </c>
      <c r="E18" s="1">
        <v>6110061</v>
      </c>
      <c r="F18" s="1">
        <v>3</v>
      </c>
      <c r="G18" s="1" t="s">
        <v>225</v>
      </c>
      <c r="H18" s="1" t="s">
        <v>97</v>
      </c>
      <c r="I18" s="1" t="s">
        <v>103</v>
      </c>
      <c r="J18" s="2">
        <v>6.48</v>
      </c>
      <c r="K18" s="2">
        <v>4.4506063985230089</v>
      </c>
      <c r="L18" s="2">
        <v>0.53154328241584137</v>
      </c>
      <c r="M18" s="2">
        <v>6.0658846365849497</v>
      </c>
      <c r="N18" s="2">
        <v>11.409858054973462</v>
      </c>
      <c r="O18" s="2">
        <v>0.10978008040000001</v>
      </c>
      <c r="P18" s="2">
        <v>0.20437500000000003</v>
      </c>
      <c r="Q18" s="2">
        <f t="shared" si="0"/>
        <v>11.207177157662725</v>
      </c>
      <c r="R18" s="2">
        <v>0.33687499999999998</v>
      </c>
      <c r="S18" s="2">
        <f t="shared" si="1"/>
        <v>0.54125000000000001</v>
      </c>
      <c r="T18" s="2">
        <v>0.45874999999999999</v>
      </c>
      <c r="U18" s="3">
        <v>14077238896.620539</v>
      </c>
      <c r="V18" s="3">
        <v>98608068.89374353</v>
      </c>
      <c r="W18" s="2">
        <f t="shared" si="2"/>
        <v>7.004787630436245E-3</v>
      </c>
      <c r="X18" s="2">
        <v>9.6989022320201013E-2</v>
      </c>
      <c r="Y18" s="2">
        <v>0.16028517746392404</v>
      </c>
      <c r="Z18" s="2">
        <v>0.2488404443862938</v>
      </c>
      <c r="AA18" s="2">
        <v>0.22014852855277478</v>
      </c>
      <c r="AB18" s="2">
        <v>0.37737261660747473</v>
      </c>
      <c r="AC18" s="1" t="s">
        <v>240</v>
      </c>
    </row>
    <row r="19" spans="1:29" x14ac:dyDescent="0.35">
      <c r="A19" s="1" t="s">
        <v>13</v>
      </c>
      <c r="B19" s="1" t="s">
        <v>62</v>
      </c>
      <c r="C19" s="1" t="s">
        <v>249</v>
      </c>
      <c r="D19" s="1">
        <v>303660</v>
      </c>
      <c r="E19" s="1">
        <v>6110061</v>
      </c>
      <c r="F19" s="1">
        <v>3</v>
      </c>
      <c r="G19" s="1" t="s">
        <v>225</v>
      </c>
      <c r="H19" s="1" t="s">
        <v>97</v>
      </c>
      <c r="I19" s="1" t="s">
        <v>104</v>
      </c>
      <c r="J19" s="2">
        <v>6.99</v>
      </c>
      <c r="K19" s="2">
        <v>2.6834391049287047</v>
      </c>
      <c r="L19" s="2">
        <v>0.35216095359449812</v>
      </c>
      <c r="M19" s="2">
        <v>4.1325344579699124</v>
      </c>
      <c r="N19" s="2">
        <v>11.739284943351628</v>
      </c>
      <c r="O19" s="2">
        <v>0.10080221519999999</v>
      </c>
      <c r="P19" s="2">
        <v>0.20875000000000005</v>
      </c>
      <c r="Q19" s="2">
        <f t="shared" si="0"/>
        <v>8.9352096388538644</v>
      </c>
      <c r="R19" s="2">
        <v>0.25374999999999998</v>
      </c>
      <c r="S19" s="2">
        <f t="shared" si="1"/>
        <v>0.46250000000000002</v>
      </c>
      <c r="T19" s="2">
        <v>0.53749999999999998</v>
      </c>
      <c r="U19" s="3">
        <v>10717523780.094212</v>
      </c>
      <c r="V19" s="3">
        <v>201367775.83809498</v>
      </c>
      <c r="W19" s="2">
        <f t="shared" si="2"/>
        <v>1.8788647449712016E-2</v>
      </c>
      <c r="X19" s="2">
        <v>9.6989022320201013E-2</v>
      </c>
      <c r="Y19" s="2">
        <v>0.16028517746392404</v>
      </c>
      <c r="Z19" s="2">
        <v>0.2488404443862938</v>
      </c>
      <c r="AA19" s="2">
        <v>0.22014852855277478</v>
      </c>
      <c r="AB19" s="2">
        <v>0.37737261660747473</v>
      </c>
      <c r="AC19" s="1" t="s">
        <v>240</v>
      </c>
    </row>
    <row r="20" spans="1:29" x14ac:dyDescent="0.35">
      <c r="A20" s="1" t="s">
        <v>16</v>
      </c>
      <c r="B20" s="1" t="s">
        <v>65</v>
      </c>
      <c r="C20" s="1" t="s">
        <v>250</v>
      </c>
      <c r="D20" s="1">
        <v>305744</v>
      </c>
      <c r="E20" s="1">
        <v>6115148</v>
      </c>
      <c r="F20" s="1">
        <v>3</v>
      </c>
      <c r="G20" s="1" t="s">
        <v>225</v>
      </c>
      <c r="H20" s="1" t="s">
        <v>97</v>
      </c>
      <c r="I20" s="1" t="s">
        <v>105</v>
      </c>
      <c r="J20" s="2">
        <v>6.8</v>
      </c>
      <c r="K20" s="2">
        <v>4.2372302820633738</v>
      </c>
      <c r="L20" s="2">
        <v>0.63322059123927654</v>
      </c>
      <c r="M20" s="2">
        <v>7.1511490834135216</v>
      </c>
      <c r="N20" s="2">
        <v>11.277532853700025</v>
      </c>
      <c r="O20" s="2">
        <v>0.15252676700000001</v>
      </c>
      <c r="P20" s="2">
        <v>0.12125000000000002</v>
      </c>
      <c r="Q20" s="2">
        <f t="shared" si="0"/>
        <v>16.82623313744358</v>
      </c>
      <c r="R20" s="2">
        <v>0.30375000000000002</v>
      </c>
      <c r="S20" s="2">
        <f t="shared" si="1"/>
        <v>0.42500000000000004</v>
      </c>
      <c r="T20" s="2">
        <v>0.57499999999999996</v>
      </c>
      <c r="U20" s="3">
        <v>5562622465.9613266</v>
      </c>
      <c r="V20" s="3">
        <v>8652022.5536318421</v>
      </c>
      <c r="W20" s="2">
        <f t="shared" si="2"/>
        <v>1.5553855410060816E-3</v>
      </c>
      <c r="X20" s="2">
        <v>0.1724284653457594</v>
      </c>
      <c r="Y20" s="2">
        <v>0.22758520751664488</v>
      </c>
      <c r="Z20" s="2">
        <v>0.27100817002074939</v>
      </c>
      <c r="AA20" s="2">
        <v>0.36648449590827648</v>
      </c>
      <c r="AB20" s="2">
        <v>0.33946333519127536</v>
      </c>
      <c r="AC20" s="1" t="s">
        <v>240</v>
      </c>
    </row>
    <row r="21" spans="1:29" x14ac:dyDescent="0.35">
      <c r="A21" s="1" t="s">
        <v>15</v>
      </c>
      <c r="B21" s="1" t="s">
        <v>64</v>
      </c>
      <c r="C21" s="1" t="s">
        <v>250</v>
      </c>
      <c r="D21" s="1">
        <v>305744</v>
      </c>
      <c r="E21" s="1">
        <v>6115148</v>
      </c>
      <c r="F21" s="1">
        <v>3</v>
      </c>
      <c r="G21" s="1" t="s">
        <v>225</v>
      </c>
      <c r="H21" s="1" t="s">
        <v>97</v>
      </c>
      <c r="I21" s="1" t="s">
        <v>106</v>
      </c>
      <c r="J21" s="2">
        <v>6.92</v>
      </c>
      <c r="K21" s="2">
        <v>3.9883357327502003</v>
      </c>
      <c r="L21" s="2">
        <v>0.58469316082267908</v>
      </c>
      <c r="M21" s="2">
        <v>7.2295150471091434</v>
      </c>
      <c r="N21" s="2">
        <v>12.392247229237434</v>
      </c>
      <c r="O21" s="2">
        <v>0.14155337259999998</v>
      </c>
      <c r="P21" s="2">
        <v>0.141875</v>
      </c>
      <c r="Q21" s="2">
        <f t="shared" si="0"/>
        <v>17.36820431737932</v>
      </c>
      <c r="R21" s="2">
        <v>0.27437500000000009</v>
      </c>
      <c r="S21" s="2">
        <f t="shared" si="1"/>
        <v>0.41625000000000012</v>
      </c>
      <c r="T21" s="2">
        <v>0.58374999999999988</v>
      </c>
      <c r="U21" s="3">
        <v>8803391067.9658337</v>
      </c>
      <c r="V21" s="3">
        <v>10418401.234945837</v>
      </c>
      <c r="W21" s="2">
        <f t="shared" si="2"/>
        <v>1.1834531891757908E-3</v>
      </c>
      <c r="X21" s="2">
        <v>0.1724284653457594</v>
      </c>
      <c r="Y21" s="2">
        <v>0.22758520751664488</v>
      </c>
      <c r="Z21" s="2">
        <v>0.27100817002074939</v>
      </c>
      <c r="AA21" s="2">
        <v>0.36648449590827648</v>
      </c>
      <c r="AB21" s="2">
        <v>0.33946333519127536</v>
      </c>
      <c r="AC21" s="1" t="s">
        <v>240</v>
      </c>
    </row>
    <row r="22" spans="1:29" x14ac:dyDescent="0.35">
      <c r="A22" s="1" t="s">
        <v>18</v>
      </c>
      <c r="B22" s="1" t="s">
        <v>67</v>
      </c>
      <c r="C22" s="1" t="s">
        <v>251</v>
      </c>
      <c r="D22" s="1">
        <v>313940.99999999988</v>
      </c>
      <c r="E22" s="1">
        <v>6115867.0999999996</v>
      </c>
      <c r="F22" s="1">
        <v>3</v>
      </c>
      <c r="G22" s="1" t="s">
        <v>225</v>
      </c>
      <c r="H22" s="1" t="s">
        <v>97</v>
      </c>
      <c r="I22" s="1" t="s">
        <v>107</v>
      </c>
      <c r="J22" s="2">
        <v>6.62</v>
      </c>
      <c r="K22" s="2">
        <v>3.5403236256893735</v>
      </c>
      <c r="L22" s="2">
        <v>0.4268634471860448</v>
      </c>
      <c r="M22" s="2">
        <v>5.5636231910548428</v>
      </c>
      <c r="N22" s="2">
        <v>13.057586555364887</v>
      </c>
      <c r="O22" s="2">
        <v>5.6426840200000009E-2</v>
      </c>
      <c r="P22" s="2">
        <v>0.17937500000000001</v>
      </c>
      <c r="Q22" s="2">
        <f t="shared" si="0"/>
        <v>14.220123172025154</v>
      </c>
      <c r="R22" s="2">
        <v>0.21187500000000006</v>
      </c>
      <c r="S22" s="2">
        <f t="shared" si="1"/>
        <v>0.3912500000000001</v>
      </c>
      <c r="T22" s="2">
        <v>0.6087499999999999</v>
      </c>
      <c r="U22" s="3">
        <v>11404517532.550711</v>
      </c>
      <c r="V22" s="3">
        <v>37830235.747653477</v>
      </c>
      <c r="W22" s="2">
        <f t="shared" si="2"/>
        <v>3.317127238366606E-3</v>
      </c>
      <c r="X22" s="2">
        <v>0.17112339481240588</v>
      </c>
      <c r="Y22" s="2">
        <v>0.31212472784450168</v>
      </c>
      <c r="Z22" s="2">
        <v>0.60044391109857309</v>
      </c>
      <c r="AA22" s="2">
        <v>0.72197202186867537</v>
      </c>
      <c r="AB22" s="2">
        <v>0.80708938413855669</v>
      </c>
      <c r="AC22" s="1" t="s">
        <v>241</v>
      </c>
    </row>
    <row r="23" spans="1:29" x14ac:dyDescent="0.35">
      <c r="A23" s="1" t="s">
        <v>17</v>
      </c>
      <c r="B23" s="1" t="s">
        <v>66</v>
      </c>
      <c r="C23" s="1" t="s">
        <v>251</v>
      </c>
      <c r="D23" s="1">
        <v>313940.99999999988</v>
      </c>
      <c r="E23" s="1">
        <v>6115867.0999999996</v>
      </c>
      <c r="F23" s="1">
        <v>3</v>
      </c>
      <c r="G23" s="1" t="s">
        <v>225</v>
      </c>
      <c r="H23" s="1" t="s">
        <v>97</v>
      </c>
      <c r="I23" s="1" t="s">
        <v>108</v>
      </c>
      <c r="J23" s="2">
        <v>6.72</v>
      </c>
      <c r="K23" s="2">
        <v>2.0961671238296593</v>
      </c>
      <c r="L23" s="2">
        <v>0.14251991271795109</v>
      </c>
      <c r="M23" s="2">
        <v>2.2606978494889627</v>
      </c>
      <c r="N23" s="2">
        <v>15.853908798637312</v>
      </c>
      <c r="O23" s="2">
        <v>6.1919176399999998E-2</v>
      </c>
      <c r="P23" s="2">
        <v>0.22125000000000003</v>
      </c>
      <c r="Q23" s="2">
        <f t="shared" si="0"/>
        <v>3.7678297491482713</v>
      </c>
      <c r="R23" s="2">
        <v>0.37874999999999998</v>
      </c>
      <c r="S23" s="2">
        <f t="shared" si="1"/>
        <v>0.6</v>
      </c>
      <c r="T23" s="2">
        <v>0.4</v>
      </c>
      <c r="U23" s="3">
        <v>1021546169.1176424</v>
      </c>
      <c r="V23" s="3">
        <v>13542757.643678822</v>
      </c>
      <c r="W23" s="2">
        <f t="shared" si="2"/>
        <v>1.3257117546998723E-2</v>
      </c>
      <c r="X23" s="2">
        <v>0.17112339481240588</v>
      </c>
      <c r="Y23" s="2">
        <v>0.31212472784450168</v>
      </c>
      <c r="Z23" s="2">
        <v>0.60044391109857309</v>
      </c>
      <c r="AA23" s="2">
        <v>0.72197202186867537</v>
      </c>
      <c r="AB23" s="2">
        <v>0.80708938413855669</v>
      </c>
      <c r="AC23" s="1" t="s">
        <v>241</v>
      </c>
    </row>
    <row r="24" spans="1:29" x14ac:dyDescent="0.35">
      <c r="A24" s="1" t="s">
        <v>41</v>
      </c>
      <c r="B24" s="1" t="s">
        <v>68</v>
      </c>
      <c r="C24" s="1" t="s">
        <v>263</v>
      </c>
      <c r="D24" s="1">
        <v>314062</v>
      </c>
      <c r="E24" s="1">
        <v>6115765.0000000009</v>
      </c>
      <c r="F24" s="1">
        <v>3</v>
      </c>
      <c r="G24" s="1" t="s">
        <v>43</v>
      </c>
      <c r="H24" s="1" t="s">
        <v>97</v>
      </c>
      <c r="I24" s="1" t="s">
        <v>43</v>
      </c>
      <c r="J24" s="2">
        <v>6.21</v>
      </c>
      <c r="K24" s="2">
        <v>6.4101126754540001</v>
      </c>
      <c r="L24" s="2">
        <v>0.64455710309094938</v>
      </c>
      <c r="M24" s="2">
        <v>14.136195129975885</v>
      </c>
      <c r="N24" s="2">
        <v>21.683732835590593</v>
      </c>
      <c r="O24" s="2">
        <v>6.2000625200000006E-2</v>
      </c>
      <c r="P24" s="2">
        <v>0.17125000000000001</v>
      </c>
      <c r="Q24" s="2">
        <f t="shared" si="0"/>
        <v>36.130850172462317</v>
      </c>
      <c r="R24" s="2">
        <v>0.22000000000000008</v>
      </c>
      <c r="S24" s="2">
        <f t="shared" si="1"/>
        <v>0.3912500000000001</v>
      </c>
      <c r="T24" s="2">
        <v>0.6087499999999999</v>
      </c>
      <c r="U24" s="3">
        <v>7882812097.8191614</v>
      </c>
      <c r="V24" s="3">
        <v>90024713.891451031</v>
      </c>
      <c r="W24" s="2">
        <f t="shared" si="2"/>
        <v>1.1420380541146863E-2</v>
      </c>
      <c r="X24" s="2">
        <v>0.84940993128144537</v>
      </c>
      <c r="Y24" s="2">
        <v>0.61241028361890704</v>
      </c>
      <c r="Z24" s="2">
        <v>0.64829080678959772</v>
      </c>
      <c r="AA24" s="2">
        <v>0.73396339190099114</v>
      </c>
      <c r="AB24" s="2">
        <v>0.80703213928862538</v>
      </c>
      <c r="AC24" s="1" t="s">
        <v>217</v>
      </c>
    </row>
    <row r="25" spans="1:29" x14ac:dyDescent="0.35">
      <c r="A25" s="1" t="s">
        <v>42</v>
      </c>
      <c r="B25" s="1" t="s">
        <v>69</v>
      </c>
      <c r="C25" s="1" t="s">
        <v>263</v>
      </c>
      <c r="D25" s="1">
        <v>314062</v>
      </c>
      <c r="E25" s="1">
        <v>6115765.0000000009</v>
      </c>
      <c r="F25" s="1">
        <v>3</v>
      </c>
      <c r="G25" s="1" t="s">
        <v>43</v>
      </c>
      <c r="H25" s="1" t="s">
        <v>97</v>
      </c>
      <c r="I25" s="1" t="s">
        <v>43</v>
      </c>
      <c r="J25" s="2">
        <v>6.14</v>
      </c>
      <c r="K25" s="2">
        <v>6.589594763871629</v>
      </c>
      <c r="L25" s="2">
        <v>0.57952194336030227</v>
      </c>
      <c r="M25" s="2">
        <v>12.777712417155394</v>
      </c>
      <c r="N25" s="2">
        <v>21.90423958071548</v>
      </c>
      <c r="O25" s="2">
        <v>6.6333584400000006E-2</v>
      </c>
      <c r="P25" s="2">
        <v>0.22625000000000001</v>
      </c>
      <c r="Q25" s="2">
        <f t="shared" si="0"/>
        <v>23.048861180889102</v>
      </c>
      <c r="R25" s="2">
        <v>0.32812499999999994</v>
      </c>
      <c r="S25" s="2">
        <f t="shared" si="1"/>
        <v>0.55437499999999995</v>
      </c>
      <c r="T25" s="2">
        <v>0.44562500000000005</v>
      </c>
      <c r="U25" s="3">
        <v>6519807370.8911896</v>
      </c>
      <c r="V25" s="3">
        <v>76692432.146392107</v>
      </c>
      <c r="W25" s="2">
        <f t="shared" si="2"/>
        <v>1.1762990497050383E-2</v>
      </c>
      <c r="X25" s="2">
        <v>0.84940993128144537</v>
      </c>
      <c r="Y25" s="2">
        <v>0.61241028361890704</v>
      </c>
      <c r="Z25" s="2">
        <v>0.64829080678959772</v>
      </c>
      <c r="AA25" s="2">
        <v>0.73396339190099114</v>
      </c>
      <c r="AB25" s="2">
        <v>0.80703213928862538</v>
      </c>
      <c r="AC25" s="1" t="s">
        <v>217</v>
      </c>
    </row>
    <row r="26" spans="1:29" x14ac:dyDescent="0.35">
      <c r="A26" s="1" t="s">
        <v>20</v>
      </c>
      <c r="B26" s="1" t="s">
        <v>71</v>
      </c>
      <c r="C26" s="1" t="s">
        <v>252</v>
      </c>
      <c r="D26" s="1">
        <v>345670</v>
      </c>
      <c r="E26" s="1">
        <v>6227606</v>
      </c>
      <c r="F26" s="1">
        <v>4</v>
      </c>
      <c r="G26" s="1" t="s">
        <v>225</v>
      </c>
      <c r="H26" s="1" t="s">
        <v>97</v>
      </c>
      <c r="I26" s="1" t="s">
        <v>103</v>
      </c>
      <c r="J26" s="2">
        <v>6.62</v>
      </c>
      <c r="K26" s="2">
        <v>2.3907592434426177</v>
      </c>
      <c r="L26" s="2">
        <v>0.24062993231890961</v>
      </c>
      <c r="M26" s="2">
        <v>3.0107640707107661</v>
      </c>
      <c r="N26" s="2">
        <v>12.517742416036736</v>
      </c>
      <c r="O26" s="2">
        <v>0.11196208320000001</v>
      </c>
      <c r="P26" s="2">
        <v>0.166875</v>
      </c>
      <c r="Q26" s="2">
        <f t="shared" si="0"/>
        <v>8.2205162340225684</v>
      </c>
      <c r="R26" s="2">
        <v>0.19937500000000008</v>
      </c>
      <c r="S26" s="2">
        <f t="shared" si="1"/>
        <v>0.36625000000000008</v>
      </c>
      <c r="T26" s="2">
        <v>0.63374999999999992</v>
      </c>
      <c r="U26" s="3">
        <v>13599634122.650957</v>
      </c>
      <c r="V26" s="3">
        <v>38666175.398214802</v>
      </c>
      <c r="W26" s="2">
        <f t="shared" si="2"/>
        <v>2.8431776215077807E-3</v>
      </c>
      <c r="X26" s="2">
        <v>0.9071513446351851</v>
      </c>
      <c r="Y26" s="2">
        <v>0.41474836481780647</v>
      </c>
      <c r="Z26" s="2">
        <v>0.27627053654083572</v>
      </c>
      <c r="AA26" s="2">
        <v>0.22014152573527873</v>
      </c>
      <c r="AB26" s="2">
        <v>0.28277351584232335</v>
      </c>
      <c r="AC26" s="1" t="s">
        <v>240</v>
      </c>
    </row>
    <row r="27" spans="1:29" x14ac:dyDescent="0.35">
      <c r="A27" s="1" t="s">
        <v>19</v>
      </c>
      <c r="B27" s="1" t="s">
        <v>70</v>
      </c>
      <c r="C27" s="1" t="s">
        <v>252</v>
      </c>
      <c r="D27" s="1">
        <v>345670</v>
      </c>
      <c r="E27" s="1">
        <v>6227606</v>
      </c>
      <c r="F27" s="1">
        <v>4</v>
      </c>
      <c r="G27" s="1" t="s">
        <v>225</v>
      </c>
      <c r="H27" s="1" t="s">
        <v>97</v>
      </c>
      <c r="I27" s="1" t="s">
        <v>104</v>
      </c>
      <c r="J27" s="2">
        <v>7.07</v>
      </c>
      <c r="K27" s="2">
        <v>1.9648121971296952</v>
      </c>
      <c r="L27" s="2">
        <v>0.25499701790741253</v>
      </c>
      <c r="M27" s="2">
        <v>3.2697563722021727</v>
      </c>
      <c r="N27" s="2">
        <v>12.844064721930977</v>
      </c>
      <c r="O27" s="2">
        <v>0.12210326000000001</v>
      </c>
      <c r="P27" s="2">
        <v>0.20437500000000003</v>
      </c>
      <c r="Q27" s="2">
        <f t="shared" si="0"/>
        <v>6.6559926151698159</v>
      </c>
      <c r="R27" s="2">
        <v>0.28687500000000005</v>
      </c>
      <c r="S27" s="2">
        <f t="shared" si="1"/>
        <v>0.49125000000000008</v>
      </c>
      <c r="T27" s="2">
        <v>0.50874999999999992</v>
      </c>
      <c r="U27" s="3">
        <v>5777884651.5243607</v>
      </c>
      <c r="V27" s="3">
        <v>222179882.88793901</v>
      </c>
      <c r="W27" s="2">
        <f t="shared" si="2"/>
        <v>3.8453499210878504E-2</v>
      </c>
      <c r="X27" s="2">
        <v>0.9071513446351851</v>
      </c>
      <c r="Y27" s="2">
        <v>0.41474836481780647</v>
      </c>
      <c r="Z27" s="2">
        <v>0.27627053654083572</v>
      </c>
      <c r="AA27" s="2">
        <v>0.22014152573527873</v>
      </c>
      <c r="AB27" s="2">
        <v>0.28277351584232335</v>
      </c>
      <c r="AC27" s="1" t="s">
        <v>240</v>
      </c>
    </row>
    <row r="28" spans="1:29" x14ac:dyDescent="0.35">
      <c r="A28" s="1" t="s">
        <v>22</v>
      </c>
      <c r="B28" s="1" t="s">
        <v>73</v>
      </c>
      <c r="C28" s="1" t="s">
        <v>253</v>
      </c>
      <c r="D28" s="1">
        <v>347526</v>
      </c>
      <c r="E28" s="1">
        <v>6228850</v>
      </c>
      <c r="F28" s="1">
        <v>4</v>
      </c>
      <c r="G28" s="1" t="s">
        <v>225</v>
      </c>
      <c r="H28" s="1" t="s">
        <v>97</v>
      </c>
      <c r="I28" s="1" t="s">
        <v>105</v>
      </c>
      <c r="J28" s="2">
        <v>6.75</v>
      </c>
      <c r="K28" s="2">
        <v>3.0471107588654158</v>
      </c>
      <c r="L28" s="2">
        <v>0.56773311193534126</v>
      </c>
      <c r="M28" s="2">
        <v>5.1248859328160412</v>
      </c>
      <c r="N28" s="2">
        <v>9.0301200398489172</v>
      </c>
      <c r="O28" s="2">
        <v>0.64044506459999995</v>
      </c>
      <c r="P28" s="2">
        <v>0.25437500000000002</v>
      </c>
      <c r="Q28" s="2">
        <f t="shared" si="0"/>
        <v>8.8550944843473705</v>
      </c>
      <c r="R28" s="2">
        <v>0.32437500000000008</v>
      </c>
      <c r="S28" s="2">
        <f t="shared" si="1"/>
        <v>0.5787500000000001</v>
      </c>
      <c r="T28" s="2">
        <v>0.4212499999999999</v>
      </c>
      <c r="U28" s="3">
        <v>8216171237.3218708</v>
      </c>
      <c r="V28" s="3">
        <v>27355114.784537345</v>
      </c>
      <c r="W28" s="2">
        <f t="shared" si="2"/>
        <v>3.3294236444680004E-3</v>
      </c>
      <c r="X28" s="2">
        <v>0.30971551925682833</v>
      </c>
      <c r="Y28" s="2">
        <v>0.36179217273800313</v>
      </c>
      <c r="Z28" s="2">
        <v>0.30406729112651232</v>
      </c>
      <c r="AA28" s="2">
        <v>0.37072247373292749</v>
      </c>
      <c r="AB28" s="2">
        <v>0.403505603615255</v>
      </c>
      <c r="AC28" s="1" t="s">
        <v>241</v>
      </c>
    </row>
    <row r="29" spans="1:29" x14ac:dyDescent="0.35">
      <c r="A29" s="1" t="s">
        <v>21</v>
      </c>
      <c r="B29" s="1" t="s">
        <v>72</v>
      </c>
      <c r="C29" s="1" t="s">
        <v>253</v>
      </c>
      <c r="D29" s="1">
        <v>347526</v>
      </c>
      <c r="E29" s="1">
        <v>6228850</v>
      </c>
      <c r="F29" s="1">
        <v>4</v>
      </c>
      <c r="G29" s="1" t="s">
        <v>225</v>
      </c>
      <c r="H29" s="1" t="s">
        <v>97</v>
      </c>
      <c r="I29" s="1" t="s">
        <v>106</v>
      </c>
      <c r="J29" s="2">
        <v>6.5</v>
      </c>
      <c r="K29" s="2">
        <v>3.5756245879631052</v>
      </c>
      <c r="L29" s="2">
        <v>0.63845459844166974</v>
      </c>
      <c r="M29" s="2">
        <v>5.7911921352393652</v>
      </c>
      <c r="N29" s="2">
        <v>9.0866141153744664</v>
      </c>
      <c r="O29" s="2">
        <v>0.80380987299999995</v>
      </c>
      <c r="P29" s="2">
        <v>0.20875000000000005</v>
      </c>
      <c r="Q29" s="2">
        <f t="shared" si="0"/>
        <v>10.850008684289207</v>
      </c>
      <c r="R29" s="2">
        <v>0.32500000000000001</v>
      </c>
      <c r="S29" s="2">
        <f t="shared" si="1"/>
        <v>0.53375000000000006</v>
      </c>
      <c r="T29" s="2">
        <v>0.46624999999999994</v>
      </c>
      <c r="U29" s="3">
        <v>4600798104.1554089</v>
      </c>
      <c r="V29" s="3">
        <v>31877461.08019951</v>
      </c>
      <c r="W29" s="2">
        <f t="shared" si="2"/>
        <v>6.9286807111592248E-3</v>
      </c>
      <c r="X29" s="2">
        <v>0.30971551925682833</v>
      </c>
      <c r="Y29" s="2">
        <v>0.36179217273800313</v>
      </c>
      <c r="Z29" s="2">
        <v>0.30406729112651232</v>
      </c>
      <c r="AA29" s="2">
        <v>0.37072247373292749</v>
      </c>
      <c r="AB29" s="2">
        <v>0.403505603615255</v>
      </c>
      <c r="AC29" s="1" t="s">
        <v>241</v>
      </c>
    </row>
    <row r="30" spans="1:29" x14ac:dyDescent="0.35">
      <c r="A30" s="1" t="s">
        <v>24</v>
      </c>
      <c r="B30" s="1" t="s">
        <v>75</v>
      </c>
      <c r="C30" s="1" t="s">
        <v>254</v>
      </c>
      <c r="D30" s="1">
        <v>347526</v>
      </c>
      <c r="E30" s="1">
        <v>6228850</v>
      </c>
      <c r="F30" s="1">
        <v>4</v>
      </c>
      <c r="G30" s="1" t="s">
        <v>225</v>
      </c>
      <c r="H30" s="1" t="s">
        <v>97</v>
      </c>
      <c r="I30" s="1" t="s">
        <v>107</v>
      </c>
      <c r="J30" s="2">
        <v>6.04</v>
      </c>
      <c r="K30" s="2">
        <v>2.8112592569903834</v>
      </c>
      <c r="L30" s="2">
        <v>0.37824751438670134</v>
      </c>
      <c r="M30" s="2">
        <v>4.3453540303475107</v>
      </c>
      <c r="N30" s="2">
        <v>11.49900938487723</v>
      </c>
      <c r="O30" s="2">
        <v>8.1944020199999995E-2</v>
      </c>
      <c r="P30" s="2">
        <v>0.15875</v>
      </c>
      <c r="Q30" s="2">
        <f t="shared" si="0"/>
        <v>11.213816852509705</v>
      </c>
      <c r="R30" s="2">
        <v>0.22875000000000001</v>
      </c>
      <c r="S30" s="2">
        <f t="shared" si="1"/>
        <v>0.38750000000000001</v>
      </c>
      <c r="T30" s="2">
        <v>0.61250000000000004</v>
      </c>
      <c r="U30" s="3">
        <v>13932222574.833183</v>
      </c>
      <c r="V30" s="3">
        <v>101894491.71786901</v>
      </c>
      <c r="W30" s="2">
        <f t="shared" si="2"/>
        <v>7.3135848333293688E-3</v>
      </c>
      <c r="X30" s="2">
        <v>0.30971551925682833</v>
      </c>
      <c r="Y30" s="2">
        <v>0.36179217273800313</v>
      </c>
      <c r="Z30" s="2">
        <v>0.30406729112651232</v>
      </c>
      <c r="AA30" s="2">
        <v>0.37072247373292749</v>
      </c>
      <c r="AB30" s="2">
        <v>0.403505603615255</v>
      </c>
      <c r="AC30" s="1" t="s">
        <v>241</v>
      </c>
    </row>
    <row r="31" spans="1:29" x14ac:dyDescent="0.35">
      <c r="A31" s="1" t="s">
        <v>23</v>
      </c>
      <c r="B31" s="1" t="s">
        <v>74</v>
      </c>
      <c r="C31" s="1" t="s">
        <v>254</v>
      </c>
      <c r="D31" s="1">
        <v>347526</v>
      </c>
      <c r="E31" s="1">
        <v>6228850</v>
      </c>
      <c r="F31" s="1">
        <v>4</v>
      </c>
      <c r="G31" s="1" t="s">
        <v>225</v>
      </c>
      <c r="H31" s="1" t="s">
        <v>97</v>
      </c>
      <c r="I31" s="1" t="s">
        <v>108</v>
      </c>
      <c r="J31" s="2">
        <v>7.04</v>
      </c>
      <c r="K31" s="2">
        <v>2.2646429333539935</v>
      </c>
      <c r="L31" s="2">
        <v>0.23909808081384623</v>
      </c>
      <c r="M31" s="2">
        <v>3.1550998065125895</v>
      </c>
      <c r="N31" s="2">
        <v>13.229047279834216</v>
      </c>
      <c r="O31" s="2">
        <v>9.8362383800000008E-2</v>
      </c>
      <c r="P31" s="2">
        <v>0.19187499999999999</v>
      </c>
      <c r="Q31" s="2">
        <f t="shared" si="0"/>
        <v>6.7669700943969744</v>
      </c>
      <c r="R31" s="2">
        <v>0.27437500000000009</v>
      </c>
      <c r="S31" s="2">
        <f t="shared" si="1"/>
        <v>0.46625000000000005</v>
      </c>
      <c r="T31" s="2">
        <v>0.53374999999999995</v>
      </c>
      <c r="U31" s="3">
        <v>13459537834.408298</v>
      </c>
      <c r="V31" s="3">
        <v>135872301.51640567</v>
      </c>
      <c r="W31" s="2">
        <f t="shared" si="2"/>
        <v>1.0094871249520791E-2</v>
      </c>
      <c r="X31" s="2">
        <v>0.30971551925682833</v>
      </c>
      <c r="Y31" s="2">
        <v>0.36179217273800313</v>
      </c>
      <c r="Z31" s="2">
        <v>0.30406729112651232</v>
      </c>
      <c r="AA31" s="2">
        <v>0.37072247373292749</v>
      </c>
      <c r="AB31" s="2">
        <v>0.403505603615255</v>
      </c>
      <c r="AC31" s="1" t="s">
        <v>240</v>
      </c>
    </row>
    <row r="32" spans="1:29" x14ac:dyDescent="0.35">
      <c r="A32" s="1" t="s">
        <v>113</v>
      </c>
      <c r="B32" s="1" t="s">
        <v>76</v>
      </c>
      <c r="C32" s="1" t="s">
        <v>264</v>
      </c>
      <c r="D32" s="1">
        <v>353716</v>
      </c>
      <c r="E32" s="1">
        <v>6232513</v>
      </c>
      <c r="F32" s="1">
        <v>4</v>
      </c>
      <c r="G32" s="1" t="s">
        <v>43</v>
      </c>
      <c r="H32" s="1" t="s">
        <v>97</v>
      </c>
      <c r="I32" s="1" t="s">
        <v>43</v>
      </c>
      <c r="J32" s="2">
        <v>6.29</v>
      </c>
      <c r="K32" s="2">
        <v>1.6975542053219477</v>
      </c>
      <c r="L32" s="2">
        <v>0.16784215065318256</v>
      </c>
      <c r="M32" s="2">
        <v>3.0341059290553973</v>
      </c>
      <c r="N32" s="2">
        <v>18.059572855720518</v>
      </c>
      <c r="O32" s="2">
        <v>3.4001147599999997E-2</v>
      </c>
      <c r="P32" s="2">
        <v>0.11687500000000001</v>
      </c>
      <c r="Q32" s="2">
        <f t="shared" si="0"/>
        <v>8.8911529056568401</v>
      </c>
      <c r="R32" s="2">
        <v>0.22437500000000007</v>
      </c>
      <c r="S32" s="2">
        <f t="shared" si="1"/>
        <v>0.34125000000000005</v>
      </c>
      <c r="T32" s="2">
        <v>0.65874999999999995</v>
      </c>
      <c r="U32" s="3">
        <v>14723288228.064095</v>
      </c>
      <c r="V32" s="3">
        <v>174063954.86077309</v>
      </c>
      <c r="W32" s="2">
        <f t="shared" si="2"/>
        <v>1.1822355995788316E-2</v>
      </c>
      <c r="X32" s="2">
        <v>0.76693583977122526</v>
      </c>
      <c r="Y32" s="2">
        <v>0.77889305133303488</v>
      </c>
      <c r="Z32" s="2">
        <v>0.80000487304684398</v>
      </c>
      <c r="AA32" s="2">
        <v>0.81765088069734393</v>
      </c>
      <c r="AB32" s="2">
        <v>0.84521562557317897</v>
      </c>
      <c r="AC32" s="1" t="s">
        <v>217</v>
      </c>
    </row>
    <row r="33" spans="1:29" x14ac:dyDescent="0.35">
      <c r="A33" s="1" t="s">
        <v>114</v>
      </c>
      <c r="B33" s="1" t="s">
        <v>77</v>
      </c>
      <c r="C33" s="1" t="s">
        <v>264</v>
      </c>
      <c r="D33" s="1">
        <v>353716</v>
      </c>
      <c r="E33" s="1">
        <v>6232513</v>
      </c>
      <c r="F33" s="1">
        <v>4</v>
      </c>
      <c r="G33" s="1" t="s">
        <v>43</v>
      </c>
      <c r="H33" s="1" t="s">
        <v>97</v>
      </c>
      <c r="I33" s="1" t="s">
        <v>43</v>
      </c>
      <c r="J33" s="2">
        <v>5.26</v>
      </c>
      <c r="K33" s="2">
        <v>2.8176936786120788</v>
      </c>
      <c r="L33" s="2">
        <v>0.30224018348850101</v>
      </c>
      <c r="M33" s="2">
        <v>4.3739468547383575</v>
      </c>
      <c r="N33" s="2">
        <v>14.491434591327675</v>
      </c>
      <c r="O33" s="2">
        <v>4.1788464999999997E-2</v>
      </c>
      <c r="P33" s="2">
        <v>0.10875000000000001</v>
      </c>
      <c r="Q33" s="2">
        <f t="shared" si="0"/>
        <v>10.934867136845893</v>
      </c>
      <c r="R33" s="2">
        <v>0.29125000000000001</v>
      </c>
      <c r="S33" s="2">
        <f t="shared" si="1"/>
        <v>0.4</v>
      </c>
      <c r="T33" s="2">
        <v>0.6</v>
      </c>
      <c r="U33" s="3">
        <v>9271187817.7531261</v>
      </c>
      <c r="V33" s="3">
        <v>131011871.41945793</v>
      </c>
      <c r="W33" s="2">
        <f t="shared" si="2"/>
        <v>1.4131077268069916E-2</v>
      </c>
      <c r="X33" s="2">
        <v>0.76693583977122526</v>
      </c>
      <c r="Y33" s="2">
        <v>0.77889305133303488</v>
      </c>
      <c r="Z33" s="2">
        <v>0.80000487304684398</v>
      </c>
      <c r="AA33" s="2">
        <v>0.81765088069734393</v>
      </c>
      <c r="AB33" s="2">
        <v>0.84521562557317897</v>
      </c>
      <c r="AC33" s="1" t="s">
        <v>217</v>
      </c>
    </row>
    <row r="34" spans="1:29" x14ac:dyDescent="0.35">
      <c r="A34" s="1" t="s">
        <v>26</v>
      </c>
      <c r="B34" s="1" t="s">
        <v>79</v>
      </c>
      <c r="C34" s="1" t="s">
        <v>255</v>
      </c>
      <c r="D34" s="1">
        <v>322204</v>
      </c>
      <c r="E34" s="1">
        <v>6169551.9000000004</v>
      </c>
      <c r="F34" s="1">
        <v>5</v>
      </c>
      <c r="G34" s="1" t="s">
        <v>225</v>
      </c>
      <c r="H34" s="1" t="s">
        <v>97</v>
      </c>
      <c r="I34" s="1" t="s">
        <v>103</v>
      </c>
      <c r="J34" s="2">
        <v>6.28</v>
      </c>
      <c r="K34" s="2">
        <v>6.2914697852437556</v>
      </c>
      <c r="L34" s="2">
        <v>1.0308589815113431</v>
      </c>
      <c r="M34" s="2">
        <v>11.755732807131858</v>
      </c>
      <c r="N34" s="2">
        <v>11.398981618089799</v>
      </c>
      <c r="O34" s="2">
        <v>0.119336344</v>
      </c>
      <c r="P34" s="2">
        <v>0.17937500000000001</v>
      </c>
      <c r="Q34" s="2">
        <f t="shared" si="0"/>
        <v>26.641887381601943</v>
      </c>
      <c r="R34" s="2">
        <v>0.26187500000000002</v>
      </c>
      <c r="S34" s="2">
        <f t="shared" si="1"/>
        <v>0.44125000000000003</v>
      </c>
      <c r="T34" s="2">
        <v>0.55874999999999997</v>
      </c>
      <c r="U34" s="3">
        <v>3019618297.7140222</v>
      </c>
      <c r="V34" s="3">
        <v>60286567.435223103</v>
      </c>
      <c r="W34" s="2">
        <f t="shared" si="2"/>
        <v>1.9964962949410713E-2</v>
      </c>
      <c r="X34" s="2">
        <v>0</v>
      </c>
      <c r="Y34" s="2">
        <v>0.22319526600585063</v>
      </c>
      <c r="Z34" s="2">
        <v>0.16963024897294132</v>
      </c>
      <c r="AA34" s="2">
        <v>0.17474353314797414</v>
      </c>
      <c r="AB34" s="2">
        <v>0.24237454182034887</v>
      </c>
      <c r="AC34" s="1" t="s">
        <v>240</v>
      </c>
    </row>
    <row r="35" spans="1:29" x14ac:dyDescent="0.35">
      <c r="A35" s="1" t="s">
        <v>25</v>
      </c>
      <c r="B35" s="1" t="s">
        <v>78</v>
      </c>
      <c r="C35" s="1" t="s">
        <v>255</v>
      </c>
      <c r="D35" s="1">
        <v>322204</v>
      </c>
      <c r="E35" s="1">
        <v>6169551.9000000004</v>
      </c>
      <c r="F35" s="1">
        <v>5</v>
      </c>
      <c r="G35" s="1" t="s">
        <v>225</v>
      </c>
      <c r="H35" s="1" t="s">
        <v>97</v>
      </c>
      <c r="I35" s="1" t="s">
        <v>104</v>
      </c>
      <c r="J35" s="2">
        <v>6.21</v>
      </c>
      <c r="K35" s="2">
        <v>1.4155696082581979</v>
      </c>
      <c r="L35" s="2">
        <v>0.15915509266663935</v>
      </c>
      <c r="M35" s="2">
        <v>2.3726879902391977</v>
      </c>
      <c r="N35" s="2">
        <v>14.95521601016751</v>
      </c>
      <c r="O35" s="2">
        <v>6.2928940000000003E-2</v>
      </c>
      <c r="P35" s="2">
        <v>0.19187499999999999</v>
      </c>
      <c r="Q35" s="2">
        <f t="shared" si="0"/>
        <v>4.5960057922308906</v>
      </c>
      <c r="R35" s="2">
        <v>0.32437500000000008</v>
      </c>
      <c r="S35" s="2">
        <f t="shared" si="1"/>
        <v>0.5162500000000001</v>
      </c>
      <c r="T35" s="2">
        <v>0.4837499999999999</v>
      </c>
      <c r="U35" s="3">
        <v>9112556856.049736</v>
      </c>
      <c r="V35" s="3">
        <v>58784720.155028455</v>
      </c>
      <c r="W35" s="2">
        <f t="shared" si="2"/>
        <v>6.4509578468091378E-3</v>
      </c>
      <c r="X35" s="2">
        <v>0</v>
      </c>
      <c r="Y35" s="2">
        <v>0.22319526600585063</v>
      </c>
      <c r="Z35" s="2">
        <v>0.16963024897294132</v>
      </c>
      <c r="AA35" s="2">
        <v>0.17474353314797414</v>
      </c>
      <c r="AB35" s="2">
        <v>0.24237454182034887</v>
      </c>
      <c r="AC35" s="1" t="s">
        <v>240</v>
      </c>
    </row>
    <row r="36" spans="1:29" x14ac:dyDescent="0.35">
      <c r="A36" s="1" t="s">
        <v>28</v>
      </c>
      <c r="B36" s="1" t="s">
        <v>81</v>
      </c>
      <c r="C36" s="1" t="s">
        <v>256</v>
      </c>
      <c r="D36" s="1">
        <v>329995.00000000012</v>
      </c>
      <c r="E36" s="1">
        <v>6161463</v>
      </c>
      <c r="F36" s="1">
        <v>5</v>
      </c>
      <c r="G36" s="1" t="s">
        <v>225</v>
      </c>
      <c r="H36" s="1" t="s">
        <v>97</v>
      </c>
      <c r="I36" s="1" t="s">
        <v>105</v>
      </c>
      <c r="J36" s="2">
        <v>5.5</v>
      </c>
      <c r="K36" s="2">
        <v>2.3178693156819503</v>
      </c>
      <c r="L36" s="2">
        <v>0.4450531596300884</v>
      </c>
      <c r="M36" s="2">
        <v>5.036118138898436</v>
      </c>
      <c r="N36" s="2">
        <v>11.33322451910459</v>
      </c>
      <c r="O36" s="2">
        <v>5.5252035600000006E-2</v>
      </c>
      <c r="P36" s="2">
        <v>0.15875</v>
      </c>
      <c r="Q36" s="2">
        <f t="shared" si="0"/>
        <v>12.590295347246089</v>
      </c>
      <c r="R36" s="2">
        <v>0.24124999999999999</v>
      </c>
      <c r="S36" s="2">
        <f t="shared" si="1"/>
        <v>0.4</v>
      </c>
      <c r="T36" s="2">
        <v>0.6</v>
      </c>
      <c r="U36" s="3">
        <v>14621999435.399223</v>
      </c>
      <c r="V36" s="3">
        <v>171546054.60400733</v>
      </c>
      <c r="W36" s="2">
        <f t="shared" si="2"/>
        <v>1.1732051786891868E-2</v>
      </c>
      <c r="X36" s="2">
        <v>0</v>
      </c>
      <c r="Y36" s="2">
        <v>1.8336243540096352E-2</v>
      </c>
      <c r="Z36" s="2">
        <v>4.0715233992491273E-2</v>
      </c>
      <c r="AA36" s="2">
        <v>0.23977742599418442</v>
      </c>
      <c r="AB36" s="2">
        <v>0.44971202691909373</v>
      </c>
      <c r="AC36" s="1" t="s">
        <v>240</v>
      </c>
    </row>
    <row r="37" spans="1:29" x14ac:dyDescent="0.35">
      <c r="A37" s="1" t="s">
        <v>27</v>
      </c>
      <c r="B37" s="1" t="s">
        <v>80</v>
      </c>
      <c r="C37" s="1" t="s">
        <v>256</v>
      </c>
      <c r="D37" s="1">
        <v>329995.00000000012</v>
      </c>
      <c r="E37" s="1">
        <v>6161463</v>
      </c>
      <c r="F37" s="1">
        <v>5</v>
      </c>
      <c r="G37" s="1" t="s">
        <v>225</v>
      </c>
      <c r="H37" s="1" t="s">
        <v>97</v>
      </c>
      <c r="I37" s="1" t="s">
        <v>106</v>
      </c>
      <c r="J37" s="2">
        <v>5.1100000000000003</v>
      </c>
      <c r="K37" s="2">
        <v>1.9175599276369735</v>
      </c>
      <c r="L37" s="2">
        <v>0.28457484170337477</v>
      </c>
      <c r="M37" s="2">
        <v>3.3471568890760417</v>
      </c>
      <c r="N37" s="2">
        <v>11.768246943787627</v>
      </c>
      <c r="O37" s="2">
        <v>3.9016017799999997E-2</v>
      </c>
      <c r="P37" s="2">
        <v>0.18375000000000002</v>
      </c>
      <c r="Q37" s="2">
        <f t="shared" si="0"/>
        <v>6.4835968795661811</v>
      </c>
      <c r="R37" s="2">
        <v>0.33250000000000002</v>
      </c>
      <c r="S37" s="2">
        <f t="shared" si="1"/>
        <v>0.5162500000000001</v>
      </c>
      <c r="T37" s="2">
        <v>0.4837499999999999</v>
      </c>
      <c r="U37" s="3">
        <v>16161382392.116934</v>
      </c>
      <c r="V37" s="3">
        <v>220567071.57953399</v>
      </c>
      <c r="W37" s="2">
        <f t="shared" si="2"/>
        <v>1.3647784962202267E-2</v>
      </c>
      <c r="X37" s="2">
        <v>0</v>
      </c>
      <c r="Y37" s="2">
        <v>1.8336243540096352E-2</v>
      </c>
      <c r="Z37" s="2">
        <v>4.0715233992491273E-2</v>
      </c>
      <c r="AA37" s="2">
        <v>0.23977742599418442</v>
      </c>
      <c r="AB37" s="2">
        <v>0.44971202691909373</v>
      </c>
      <c r="AC37" s="1" t="s">
        <v>240</v>
      </c>
    </row>
    <row r="38" spans="1:29" x14ac:dyDescent="0.35">
      <c r="A38" s="1" t="s">
        <v>30</v>
      </c>
      <c r="B38" s="1" t="s">
        <v>83</v>
      </c>
      <c r="C38" s="1" t="s">
        <v>257</v>
      </c>
      <c r="D38" s="1">
        <v>334921.90000000002</v>
      </c>
      <c r="E38" s="1">
        <v>6165503.5</v>
      </c>
      <c r="F38" s="1">
        <v>5</v>
      </c>
      <c r="G38" s="1" t="s">
        <v>225</v>
      </c>
      <c r="H38" s="1" t="s">
        <v>97</v>
      </c>
      <c r="I38" s="1" t="s">
        <v>107</v>
      </c>
      <c r="J38" s="2">
        <v>6.46</v>
      </c>
      <c r="K38" s="2">
        <v>2.6975267984613724</v>
      </c>
      <c r="L38" s="2">
        <v>0.37743105228478813</v>
      </c>
      <c r="M38" s="2">
        <v>4.562251998845956</v>
      </c>
      <c r="N38" s="2">
        <v>12.081800857361861</v>
      </c>
      <c r="O38" s="2">
        <v>5.3340652000000002E-2</v>
      </c>
      <c r="P38" s="2">
        <v>0.15875</v>
      </c>
      <c r="Q38" s="2">
        <f t="shared" si="0"/>
        <v>10.237872648181668</v>
      </c>
      <c r="R38" s="2">
        <v>0.28687499999999999</v>
      </c>
      <c r="S38" s="2">
        <f t="shared" si="1"/>
        <v>0.44562499999999999</v>
      </c>
      <c r="T38" s="2">
        <v>0.55437499999999995</v>
      </c>
      <c r="U38" s="3">
        <v>14621999435.399223</v>
      </c>
      <c r="V38" s="3">
        <v>188587744.45976976</v>
      </c>
      <c r="W38" s="2">
        <f t="shared" si="2"/>
        <v>1.2897534656115978E-2</v>
      </c>
      <c r="X38" s="2">
        <v>5.570423008216337E-3</v>
      </c>
      <c r="Y38" s="2">
        <v>0.38055022016743756</v>
      </c>
      <c r="Z38" s="2">
        <v>0.63505028690473309</v>
      </c>
      <c r="AA38" s="2">
        <v>0.80700882627256121</v>
      </c>
      <c r="AB38" s="2">
        <v>0.88679127665281587</v>
      </c>
      <c r="AC38" s="1" t="s">
        <v>241</v>
      </c>
    </row>
    <row r="39" spans="1:29" x14ac:dyDescent="0.35">
      <c r="A39" s="1" t="s">
        <v>29</v>
      </c>
      <c r="B39" s="1" t="s">
        <v>82</v>
      </c>
      <c r="C39" s="1" t="s">
        <v>257</v>
      </c>
      <c r="D39" s="1">
        <v>334921.90000000002</v>
      </c>
      <c r="E39" s="1">
        <v>6165503.5</v>
      </c>
      <c r="F39" s="1">
        <v>5</v>
      </c>
      <c r="G39" s="1" t="s">
        <v>225</v>
      </c>
      <c r="H39" s="1" t="s">
        <v>97</v>
      </c>
      <c r="I39" s="1" t="s">
        <v>108</v>
      </c>
      <c r="J39" s="2">
        <v>5.76</v>
      </c>
      <c r="K39" s="2">
        <v>1.7320075749207369</v>
      </c>
      <c r="L39" s="2">
        <v>0.18742102878440373</v>
      </c>
      <c r="M39" s="2">
        <v>2.4693003960935904</v>
      </c>
      <c r="N39" s="2">
        <v>13.193982687882201</v>
      </c>
      <c r="O39" s="2">
        <v>3.9713587799999998E-2</v>
      </c>
      <c r="P39" s="2">
        <v>0.15437499999999998</v>
      </c>
      <c r="Q39" s="2">
        <f t="shared" si="0"/>
        <v>5.9322532038284441</v>
      </c>
      <c r="R39" s="2">
        <v>0.26187500000000008</v>
      </c>
      <c r="S39" s="2">
        <f t="shared" si="1"/>
        <v>0.41625000000000006</v>
      </c>
      <c r="T39" s="2">
        <v>0.58374999999999988</v>
      </c>
      <c r="U39" s="3">
        <v>9144064412.8229561</v>
      </c>
      <c r="V39" s="3">
        <v>19212408.400978584</v>
      </c>
      <c r="W39" s="2">
        <f t="shared" si="2"/>
        <v>2.1010797314634541E-3</v>
      </c>
      <c r="X39" s="2">
        <v>5.570423008216337E-3</v>
      </c>
      <c r="Y39" s="2">
        <v>0.38055022016743756</v>
      </c>
      <c r="Z39" s="2">
        <v>0.63505028690473309</v>
      </c>
      <c r="AA39" s="2">
        <v>0.80700882627256121</v>
      </c>
      <c r="AB39" s="2">
        <v>0.88679127665281587</v>
      </c>
      <c r="AC39" s="1" t="s">
        <v>241</v>
      </c>
    </row>
    <row r="40" spans="1:29" x14ac:dyDescent="0.35">
      <c r="A40" s="1" t="s">
        <v>115</v>
      </c>
      <c r="B40" s="1" t="s">
        <v>84</v>
      </c>
      <c r="C40" s="1" t="s">
        <v>265</v>
      </c>
      <c r="D40" s="1">
        <v>335139.00000000012</v>
      </c>
      <c r="E40" s="1">
        <v>6165524</v>
      </c>
      <c r="F40" s="1">
        <v>5</v>
      </c>
      <c r="G40" s="1" t="s">
        <v>43</v>
      </c>
      <c r="H40" s="1" t="s">
        <v>97</v>
      </c>
      <c r="I40" s="1" t="s">
        <v>43</v>
      </c>
      <c r="J40" s="2">
        <v>6.41</v>
      </c>
      <c r="K40" s="2">
        <v>8.109651844893051</v>
      </c>
      <c r="L40" s="2">
        <v>1.1351123651151689</v>
      </c>
      <c r="M40" s="2">
        <v>17.448044592550264</v>
      </c>
      <c r="N40" s="2">
        <v>15.417416930349592</v>
      </c>
      <c r="O40" s="2">
        <v>5.6442041600000006E-2</v>
      </c>
      <c r="P40" s="2">
        <v>0.12937499999999999</v>
      </c>
      <c r="Q40" s="2">
        <f t="shared" si="0"/>
        <v>47.639712198089448</v>
      </c>
      <c r="R40" s="2">
        <v>0.23687500000000006</v>
      </c>
      <c r="S40" s="2">
        <f t="shared" si="1"/>
        <v>0.36625000000000008</v>
      </c>
      <c r="T40" s="2">
        <v>0.63374999999999992</v>
      </c>
      <c r="X40" s="2">
        <v>0.63646061742448945</v>
      </c>
      <c r="Y40" s="2">
        <v>0.50237125879339928</v>
      </c>
      <c r="Z40" s="2">
        <v>0.68772790308482512</v>
      </c>
      <c r="AA40" s="2">
        <v>0.82294883044298694</v>
      </c>
      <c r="AB40" s="2">
        <v>0.89209375913123812</v>
      </c>
      <c r="AC40" s="1" t="s">
        <v>217</v>
      </c>
    </row>
    <row r="41" spans="1:29" x14ac:dyDescent="0.35">
      <c r="A41" s="1" t="s">
        <v>116</v>
      </c>
      <c r="B41" s="1" t="s">
        <v>85</v>
      </c>
      <c r="C41" s="1" t="s">
        <v>265</v>
      </c>
      <c r="D41" s="1">
        <v>335139.00000000012</v>
      </c>
      <c r="E41" s="1">
        <v>6165524</v>
      </c>
      <c r="F41" s="1">
        <v>5</v>
      </c>
      <c r="G41" s="1" t="s">
        <v>43</v>
      </c>
      <c r="H41" s="1" t="s">
        <v>97</v>
      </c>
      <c r="I41" s="1" t="s">
        <v>43</v>
      </c>
      <c r="J41" s="2">
        <v>6.76</v>
      </c>
      <c r="K41" s="2">
        <v>4.6940970309218883</v>
      </c>
      <c r="L41" s="2">
        <v>0.52443230892392489</v>
      </c>
      <c r="M41" s="2">
        <v>7.8609525695266145</v>
      </c>
      <c r="N41" s="2">
        <v>14.960718680531141</v>
      </c>
      <c r="O41" s="2">
        <v>5.0858359799999996E-2</v>
      </c>
      <c r="P41" s="2">
        <v>8.8750000000000023E-2</v>
      </c>
      <c r="Q41" s="2">
        <f t="shared" si="0"/>
        <v>22.182582206777042</v>
      </c>
      <c r="R41" s="2">
        <v>0.265625</v>
      </c>
      <c r="S41" s="2">
        <f t="shared" si="1"/>
        <v>0.354375</v>
      </c>
      <c r="T41" s="2">
        <v>0.645625</v>
      </c>
      <c r="U41" s="3">
        <v>7910067691.7899847</v>
      </c>
      <c r="V41" s="3">
        <v>81889650.513463959</v>
      </c>
      <c r="W41" s="2">
        <f t="shared" si="2"/>
        <v>1.0352585300686976E-2</v>
      </c>
      <c r="X41" s="2">
        <v>0.63646061742448945</v>
      </c>
      <c r="Y41" s="2">
        <v>0.50237125879339928</v>
      </c>
      <c r="Z41" s="2">
        <v>0.68772790308482512</v>
      </c>
      <c r="AA41" s="2">
        <v>0.82294883044298694</v>
      </c>
      <c r="AB41" s="2">
        <v>0.89209375913123812</v>
      </c>
      <c r="AC41" s="1" t="s">
        <v>217</v>
      </c>
    </row>
    <row r="42" spans="1:29" x14ac:dyDescent="0.35">
      <c r="A42" s="1" t="s">
        <v>32</v>
      </c>
      <c r="B42" s="1" t="s">
        <v>87</v>
      </c>
      <c r="C42" s="1" t="s">
        <v>258</v>
      </c>
      <c r="D42" s="1">
        <v>302867.00000000012</v>
      </c>
      <c r="E42" s="1">
        <v>6109326</v>
      </c>
      <c r="F42" s="1">
        <v>6</v>
      </c>
      <c r="G42" s="1" t="s">
        <v>225</v>
      </c>
      <c r="H42" s="1" t="s">
        <v>97</v>
      </c>
      <c r="I42" s="1" t="s">
        <v>103</v>
      </c>
      <c r="J42" s="2">
        <v>6.4</v>
      </c>
      <c r="K42" s="2">
        <v>2.4898993023924261</v>
      </c>
      <c r="L42" s="2">
        <v>0.42030475737004458</v>
      </c>
      <c r="M42" s="2">
        <v>4.7969527459407075</v>
      </c>
      <c r="N42" s="2">
        <v>11.432408272814833</v>
      </c>
      <c r="O42" s="2">
        <v>8.8900536599999996E-2</v>
      </c>
      <c r="P42" s="2">
        <v>8.3750000000000019E-2</v>
      </c>
      <c r="Q42" s="2">
        <f t="shared" si="0"/>
        <v>21.742562021260998</v>
      </c>
      <c r="R42" s="2">
        <v>0.13687499999999997</v>
      </c>
      <c r="S42" s="2">
        <f t="shared" si="1"/>
        <v>0.22062499999999999</v>
      </c>
      <c r="T42" s="2">
        <v>0.77937500000000004</v>
      </c>
      <c r="U42" s="3">
        <v>9112556856.049736</v>
      </c>
      <c r="V42" s="3">
        <v>38245921.753496639</v>
      </c>
      <c r="W42" s="2">
        <f t="shared" si="2"/>
        <v>4.1970571331037074E-3</v>
      </c>
      <c r="X42" s="2">
        <v>0.30064368750059028</v>
      </c>
      <c r="Y42" s="2">
        <v>0.23035613327306106</v>
      </c>
      <c r="Z42" s="2">
        <v>0.26570682709171972</v>
      </c>
      <c r="AA42" s="2">
        <v>0.28996821053775834</v>
      </c>
      <c r="AB42" s="2">
        <v>0.30734719184445736</v>
      </c>
      <c r="AC42" s="1" t="s">
        <v>240</v>
      </c>
    </row>
    <row r="43" spans="1:29" x14ac:dyDescent="0.35">
      <c r="A43" s="1" t="s">
        <v>31</v>
      </c>
      <c r="B43" s="1" t="s">
        <v>86</v>
      </c>
      <c r="C43" s="1" t="s">
        <v>258</v>
      </c>
      <c r="D43" s="1">
        <v>302867.00000000012</v>
      </c>
      <c r="E43" s="1">
        <v>6109326</v>
      </c>
      <c r="F43" s="1">
        <v>6</v>
      </c>
      <c r="G43" s="1" t="s">
        <v>225</v>
      </c>
      <c r="H43" s="1" t="s">
        <v>97</v>
      </c>
      <c r="I43" s="1" t="s">
        <v>104</v>
      </c>
      <c r="J43" s="2">
        <v>6.4</v>
      </c>
      <c r="K43" s="2">
        <v>2.3836643822767876</v>
      </c>
      <c r="L43" s="2">
        <v>0.44892129383929047</v>
      </c>
      <c r="M43" s="2">
        <v>4.9774712614337604</v>
      </c>
      <c r="N43" s="2">
        <v>11.095530555681894</v>
      </c>
      <c r="O43" s="2">
        <v>0.1879738074</v>
      </c>
      <c r="P43" s="2">
        <v>7.1250000000000008E-2</v>
      </c>
      <c r="Q43" s="2">
        <f t="shared" si="0"/>
        <v>24.887356307168801</v>
      </c>
      <c r="R43" s="2">
        <v>0.12875</v>
      </c>
      <c r="S43" s="2">
        <f t="shared" si="1"/>
        <v>0.2</v>
      </c>
      <c r="T43" s="2">
        <v>0.8</v>
      </c>
      <c r="U43" s="3">
        <v>2877171101.0288339</v>
      </c>
      <c r="V43" s="3">
        <v>33667754.102622628</v>
      </c>
      <c r="W43" s="2">
        <f t="shared" si="2"/>
        <v>1.1701686455346203E-2</v>
      </c>
      <c r="X43" s="2">
        <v>0.30064368750059028</v>
      </c>
      <c r="Y43" s="2">
        <v>0.23035613327306106</v>
      </c>
      <c r="Z43" s="2">
        <v>0.26570682709171972</v>
      </c>
      <c r="AA43" s="2">
        <v>0.28996821053775834</v>
      </c>
      <c r="AB43" s="2">
        <v>0.30734719184445736</v>
      </c>
      <c r="AC43" s="1" t="s">
        <v>240</v>
      </c>
    </row>
    <row r="44" spans="1:29" x14ac:dyDescent="0.35">
      <c r="A44" s="1" t="s">
        <v>34</v>
      </c>
      <c r="B44" s="1" t="s">
        <v>89</v>
      </c>
      <c r="C44" s="1" t="s">
        <v>259</v>
      </c>
      <c r="D44" s="1">
        <v>312468.99999999988</v>
      </c>
      <c r="E44" s="1">
        <v>6098487</v>
      </c>
      <c r="F44" s="1">
        <v>6</v>
      </c>
      <c r="G44" s="1" t="s">
        <v>225</v>
      </c>
      <c r="H44" s="1" t="s">
        <v>97</v>
      </c>
      <c r="I44" s="1" t="s">
        <v>105</v>
      </c>
      <c r="J44" s="2">
        <v>6.75</v>
      </c>
      <c r="K44" s="2">
        <v>3.389564040996988</v>
      </c>
      <c r="L44" s="2">
        <v>0.45825973226914096</v>
      </c>
      <c r="M44" s="2">
        <v>5.3817218805758547</v>
      </c>
      <c r="N44" s="2">
        <v>11.745186725981386</v>
      </c>
      <c r="O44" s="2">
        <v>7.0659350400000001E-2</v>
      </c>
      <c r="P44" s="2">
        <v>0.12625000000000003</v>
      </c>
      <c r="Q44" s="2">
        <f t="shared" si="0"/>
        <v>13.454304701439638</v>
      </c>
      <c r="R44" s="2">
        <v>0.27374999999999994</v>
      </c>
      <c r="S44" s="2">
        <f t="shared" si="1"/>
        <v>0.39999999999999997</v>
      </c>
      <c r="T44" s="2">
        <v>0.6</v>
      </c>
      <c r="U44" s="3">
        <v>69425182.669152439</v>
      </c>
      <c r="V44" s="3">
        <v>743541.59959466395</v>
      </c>
      <c r="W44" s="2">
        <f t="shared" si="2"/>
        <v>1.0709969653778677E-2</v>
      </c>
      <c r="X44" s="2">
        <v>0</v>
      </c>
      <c r="Y44" s="2">
        <v>7.4373741526615068E-3</v>
      </c>
      <c r="Z44" s="2">
        <v>0.43443898891234478</v>
      </c>
      <c r="AA44" s="2">
        <v>0.65303755967716892</v>
      </c>
      <c r="AB44" s="2">
        <v>0.66787311766930502</v>
      </c>
      <c r="AC44" s="1" t="s">
        <v>241</v>
      </c>
    </row>
    <row r="45" spans="1:29" x14ac:dyDescent="0.35">
      <c r="A45" s="1" t="s">
        <v>33</v>
      </c>
      <c r="B45" s="1" t="s">
        <v>88</v>
      </c>
      <c r="C45" s="1" t="s">
        <v>259</v>
      </c>
      <c r="D45" s="1">
        <v>312468.99999999988</v>
      </c>
      <c r="E45" s="1">
        <v>6098487</v>
      </c>
      <c r="F45" s="1">
        <v>6</v>
      </c>
      <c r="G45" s="1" t="s">
        <v>225</v>
      </c>
      <c r="H45" s="1" t="s">
        <v>97</v>
      </c>
      <c r="I45" s="1" t="s">
        <v>106</v>
      </c>
      <c r="J45" s="2">
        <v>6.73</v>
      </c>
      <c r="K45" s="2">
        <v>3.0397997042963096</v>
      </c>
      <c r="L45" s="2">
        <v>0.42023110263754893</v>
      </c>
      <c r="M45" s="2">
        <v>5.0789949374693233</v>
      </c>
      <c r="N45" s="2">
        <v>12.093259044229512</v>
      </c>
      <c r="O45" s="2">
        <v>0.10294837180000001</v>
      </c>
      <c r="P45" s="2">
        <v>8.3750000000000019E-2</v>
      </c>
      <c r="Q45" s="2">
        <f t="shared" si="0"/>
        <v>11.071378610287351</v>
      </c>
      <c r="R45" s="2">
        <v>0.37500000000000006</v>
      </c>
      <c r="S45" s="2">
        <f t="shared" si="1"/>
        <v>0.4587500000000001</v>
      </c>
      <c r="T45" s="2">
        <v>0.5412499999999999</v>
      </c>
      <c r="X45" s="2">
        <v>0</v>
      </c>
      <c r="Y45" s="2">
        <v>7.4373741526615068E-3</v>
      </c>
      <c r="Z45" s="2">
        <v>0.43443898891234478</v>
      </c>
      <c r="AA45" s="2">
        <v>0.65303755967716892</v>
      </c>
      <c r="AB45" s="2">
        <v>0.66787311766930502</v>
      </c>
      <c r="AC45" s="1" t="s">
        <v>241</v>
      </c>
    </row>
    <row r="46" spans="1:29" x14ac:dyDescent="0.35">
      <c r="A46" s="1" t="s">
        <v>36</v>
      </c>
      <c r="B46" s="1" t="s">
        <v>91</v>
      </c>
      <c r="C46" s="1" t="s">
        <v>260</v>
      </c>
      <c r="D46" s="1">
        <v>312848</v>
      </c>
      <c r="E46" s="1">
        <v>6098782</v>
      </c>
      <c r="F46" s="1">
        <v>6</v>
      </c>
      <c r="G46" s="1" t="s">
        <v>225</v>
      </c>
      <c r="H46" s="1" t="s">
        <v>97</v>
      </c>
      <c r="I46" s="1" t="s">
        <v>107</v>
      </c>
      <c r="J46" s="2">
        <v>5.84</v>
      </c>
      <c r="K46" s="2">
        <v>2.1594520461407258</v>
      </c>
      <c r="L46" s="2">
        <v>0.25895158058586898</v>
      </c>
      <c r="M46" s="2">
        <v>3.7987094070606986</v>
      </c>
      <c r="N46" s="2">
        <v>14.662536080994002</v>
      </c>
      <c r="O46" s="2">
        <v>7.4653410000000003E-2</v>
      </c>
      <c r="P46" s="2">
        <v>0.17125000000000001</v>
      </c>
      <c r="Q46" s="2">
        <f t="shared" si="0"/>
        <v>6.3311823451011637</v>
      </c>
      <c r="R46" s="2">
        <v>0.42875000000000002</v>
      </c>
      <c r="S46" s="2">
        <f t="shared" si="1"/>
        <v>0.60000000000000009</v>
      </c>
      <c r="T46" s="2">
        <v>0.4</v>
      </c>
      <c r="U46" s="3">
        <v>13320884744.549019</v>
      </c>
      <c r="V46" s="3">
        <v>63227355.581833147</v>
      </c>
      <c r="W46" s="2">
        <f t="shared" si="2"/>
        <v>4.746483194947403E-3</v>
      </c>
      <c r="X46" s="2">
        <v>0.67628118418608163</v>
      </c>
      <c r="Y46" s="2">
        <v>0.59296200284635536</v>
      </c>
      <c r="Z46" s="2">
        <v>0.63693024673760679</v>
      </c>
      <c r="AA46" s="2">
        <v>0.73062623105424029</v>
      </c>
      <c r="AB46" s="2">
        <v>0.67021547099496348</v>
      </c>
      <c r="AC46" s="1" t="s">
        <v>241</v>
      </c>
    </row>
    <row r="47" spans="1:29" x14ac:dyDescent="0.35">
      <c r="A47" s="1" t="s">
        <v>35</v>
      </c>
      <c r="B47" s="1" t="s">
        <v>90</v>
      </c>
      <c r="C47" s="1" t="s">
        <v>260</v>
      </c>
      <c r="D47" s="1">
        <v>312848</v>
      </c>
      <c r="E47" s="1">
        <v>6098782</v>
      </c>
      <c r="F47" s="1">
        <v>6</v>
      </c>
      <c r="G47" s="1" t="s">
        <v>225</v>
      </c>
      <c r="H47" s="1" t="s">
        <v>97</v>
      </c>
      <c r="I47" s="1" t="s">
        <v>108</v>
      </c>
      <c r="J47" s="2">
        <v>5.85</v>
      </c>
      <c r="K47" s="2">
        <v>3.6346671508973634</v>
      </c>
      <c r="L47" s="2">
        <v>0.31946461516153046</v>
      </c>
      <c r="M47" s="2">
        <v>5.3697431849366657</v>
      </c>
      <c r="N47" s="2">
        <v>16.852992807109683</v>
      </c>
      <c r="O47" s="2">
        <v>7.0882884599999987E-2</v>
      </c>
      <c r="P47" s="2">
        <v>0.23375000000000004</v>
      </c>
      <c r="Q47" s="2">
        <f t="shared" si="0"/>
        <v>11.304722494603507</v>
      </c>
      <c r="R47" s="2">
        <v>0.24124999999999996</v>
      </c>
      <c r="S47" s="2">
        <f t="shared" si="1"/>
        <v>0.47499999999999998</v>
      </c>
      <c r="T47" s="2">
        <v>0.52500000000000002</v>
      </c>
      <c r="U47" s="3">
        <v>10534145863.721989</v>
      </c>
      <c r="V47" s="3">
        <v>16728798.105880765</v>
      </c>
      <c r="W47" s="2">
        <f t="shared" si="2"/>
        <v>1.5880545344917072E-3</v>
      </c>
      <c r="X47" s="2">
        <v>0.67628118418608163</v>
      </c>
      <c r="Y47" s="2">
        <v>0.59296200284635536</v>
      </c>
      <c r="Z47" s="2">
        <v>0.63693024673760679</v>
      </c>
      <c r="AA47" s="2">
        <v>0.73062623105424029</v>
      </c>
      <c r="AB47" s="2">
        <v>0.67021547099496348</v>
      </c>
      <c r="AC47" s="1" t="s">
        <v>241</v>
      </c>
    </row>
    <row r="48" spans="1:29" x14ac:dyDescent="0.35">
      <c r="A48" s="1" t="s">
        <v>128</v>
      </c>
      <c r="B48" s="1" t="s">
        <v>92</v>
      </c>
      <c r="C48" s="1" t="s">
        <v>266</v>
      </c>
      <c r="D48" s="1">
        <v>313072.99999999988</v>
      </c>
      <c r="E48" s="1">
        <v>6098841</v>
      </c>
      <c r="F48" s="1">
        <v>6</v>
      </c>
      <c r="G48" s="1" t="s">
        <v>43</v>
      </c>
      <c r="H48" s="1" t="s">
        <v>97</v>
      </c>
      <c r="I48" s="1" t="s">
        <v>43</v>
      </c>
      <c r="J48" s="2">
        <v>6.83</v>
      </c>
      <c r="K48" s="2">
        <v>10.035408719946918</v>
      </c>
      <c r="L48" s="2">
        <v>1.2018169256326183</v>
      </c>
      <c r="M48" s="2">
        <v>22.971567325974394</v>
      </c>
      <c r="N48" s="2">
        <v>19.152238624552133</v>
      </c>
      <c r="O48" s="2">
        <v>7.3647538400000004E-2</v>
      </c>
      <c r="P48" s="2">
        <v>0.30875000000000002</v>
      </c>
      <c r="Q48" s="2">
        <f t="shared" si="0"/>
        <v>42.441694828590101</v>
      </c>
      <c r="R48" s="2">
        <v>0.23249999999999996</v>
      </c>
      <c r="S48" s="2">
        <f t="shared" si="1"/>
        <v>0.54125000000000001</v>
      </c>
      <c r="T48" s="2">
        <v>0.45874999999999999</v>
      </c>
      <c r="X48" s="2">
        <v>0.92803247316884174</v>
      </c>
      <c r="Y48" s="2">
        <v>0.88331903018332669</v>
      </c>
      <c r="Z48" s="2">
        <v>0.80789848712557044</v>
      </c>
      <c r="AA48" s="2">
        <v>0.71330189718880133</v>
      </c>
      <c r="AB48" s="2">
        <v>0.68484468778647967</v>
      </c>
      <c r="AC48" s="1" t="s">
        <v>217</v>
      </c>
    </row>
    <row r="49" spans="1:39" x14ac:dyDescent="0.35">
      <c r="A49" s="1" t="s">
        <v>130</v>
      </c>
      <c r="B49" s="1" t="s">
        <v>93</v>
      </c>
      <c r="C49" s="1" t="s">
        <v>266</v>
      </c>
      <c r="D49" s="1">
        <v>313072.99999999988</v>
      </c>
      <c r="E49" s="1">
        <v>6098841</v>
      </c>
      <c r="F49" s="1">
        <v>6</v>
      </c>
      <c r="G49" s="1" t="s">
        <v>43</v>
      </c>
      <c r="H49" s="1" t="s">
        <v>97</v>
      </c>
      <c r="I49" s="1" t="s">
        <v>43</v>
      </c>
      <c r="J49" s="2">
        <v>6.51</v>
      </c>
      <c r="K49" s="2">
        <v>11.679084361430455</v>
      </c>
      <c r="L49" s="2">
        <v>1.0155315526764555</v>
      </c>
      <c r="M49" s="2">
        <v>19.686318136922218</v>
      </c>
      <c r="N49" s="2">
        <v>19.435951895375581</v>
      </c>
      <c r="O49" s="2">
        <v>6.6100194799999998E-2</v>
      </c>
      <c r="P49" s="2">
        <v>0.18875000000000003</v>
      </c>
      <c r="Q49" s="2">
        <f t="shared" si="0"/>
        <v>54.307084515647489</v>
      </c>
      <c r="R49" s="2">
        <v>0.17375000000000004</v>
      </c>
      <c r="S49" s="2">
        <f t="shared" si="1"/>
        <v>0.36250000000000004</v>
      </c>
      <c r="T49" s="2">
        <v>0.63749999999999996</v>
      </c>
      <c r="X49" s="2">
        <v>0.92803247316884174</v>
      </c>
      <c r="Y49" s="2">
        <v>0.88331903018332669</v>
      </c>
      <c r="Z49" s="2">
        <v>0.80789848712557044</v>
      </c>
      <c r="AA49" s="2">
        <v>0.71330189718880133</v>
      </c>
      <c r="AB49" s="2">
        <v>0.68484468778647967</v>
      </c>
      <c r="AC49" s="1" t="s">
        <v>217</v>
      </c>
    </row>
    <row r="50" spans="1:39" x14ac:dyDescent="0.35">
      <c r="A50" s="1" t="s">
        <v>134</v>
      </c>
      <c r="B50" s="1" t="s">
        <v>48</v>
      </c>
      <c r="C50" s="1" t="s">
        <v>243</v>
      </c>
      <c r="D50" s="1">
        <v>320995.59999999998</v>
      </c>
      <c r="E50" s="1">
        <v>6155792.2999999998</v>
      </c>
      <c r="F50" s="1">
        <v>1</v>
      </c>
      <c r="G50" s="1" t="s">
        <v>225</v>
      </c>
      <c r="H50" s="1" t="s">
        <v>95</v>
      </c>
      <c r="I50" s="1" t="s">
        <v>103</v>
      </c>
      <c r="J50" s="2">
        <v>6.38</v>
      </c>
      <c r="K50" s="2">
        <v>5.8224432667500237</v>
      </c>
      <c r="L50" s="2">
        <v>0.21342961321756104</v>
      </c>
      <c r="M50" s="2">
        <v>2.2770431448070458</v>
      </c>
      <c r="N50" s="2">
        <v>10.661192135611403</v>
      </c>
      <c r="O50" s="2">
        <v>5.2296702E-2</v>
      </c>
      <c r="P50" s="2">
        <v>0.166875</v>
      </c>
      <c r="Q50" s="2">
        <f t="shared" si="0"/>
        <v>5.3108878012992315</v>
      </c>
      <c r="R50" s="2">
        <v>0.26187500000000008</v>
      </c>
      <c r="S50" s="2">
        <f t="shared" si="1"/>
        <v>0.42875000000000008</v>
      </c>
      <c r="T50" s="2">
        <v>0.57124999999999992</v>
      </c>
      <c r="U50" s="3">
        <v>11886807368.197958</v>
      </c>
      <c r="V50" s="3">
        <v>32463389.684630807</v>
      </c>
      <c r="W50" s="2">
        <f t="shared" si="2"/>
        <v>2.7310436418346924E-3</v>
      </c>
      <c r="X50" s="2">
        <v>0.49707271826460753</v>
      </c>
      <c r="Y50" s="2">
        <v>0.54463814652891485</v>
      </c>
      <c r="Z50" s="2">
        <v>0.34871354144153299</v>
      </c>
      <c r="AA50" s="2">
        <v>0.20725825140187598</v>
      </c>
      <c r="AB50" s="2">
        <v>0.31258178519035434</v>
      </c>
      <c r="AC50" s="1" t="s">
        <v>240</v>
      </c>
      <c r="AD50" s="1">
        <v>13.471745396285881</v>
      </c>
      <c r="AE50" s="1">
        <v>9.864014787318661</v>
      </c>
      <c r="AF50" s="1">
        <v>0.40916666666666696</v>
      </c>
      <c r="AG50" s="1">
        <v>1.3808333333333331</v>
      </c>
      <c r="AH50" s="1">
        <v>2.0216666666666678</v>
      </c>
      <c r="AI50" s="1">
        <v>11.983676744931975</v>
      </c>
      <c r="AJ50" s="1">
        <v>40.441858179943502</v>
      </c>
      <c r="AK50" s="2">
        <v>59.210590189826824</v>
      </c>
      <c r="AL50" s="2"/>
      <c r="AM50" s="2"/>
    </row>
    <row r="51" spans="1:39" x14ac:dyDescent="0.35">
      <c r="A51" s="1" t="s">
        <v>137</v>
      </c>
      <c r="B51" s="1" t="s">
        <v>47</v>
      </c>
      <c r="C51" s="1" t="s">
        <v>243</v>
      </c>
      <c r="D51" s="1">
        <v>320995.59999999998</v>
      </c>
      <c r="E51" s="1">
        <v>6155792.2999999998</v>
      </c>
      <c r="F51" s="1">
        <v>1</v>
      </c>
      <c r="G51" s="1" t="s">
        <v>225</v>
      </c>
      <c r="H51" s="1" t="s">
        <v>95</v>
      </c>
      <c r="I51" s="1" t="s">
        <v>104</v>
      </c>
      <c r="J51" s="2">
        <v>5.41</v>
      </c>
      <c r="K51" s="2">
        <v>8.142022178945636</v>
      </c>
      <c r="L51" s="2">
        <v>0.73839780232680174</v>
      </c>
      <c r="M51" s="2">
        <v>9.0295784974429552</v>
      </c>
      <c r="N51" s="2">
        <v>12.23732100300723</v>
      </c>
      <c r="O51" s="2">
        <v>4.2918285666666667E-2</v>
      </c>
      <c r="P51" s="2">
        <v>0.15437499999999998</v>
      </c>
      <c r="Q51" s="2">
        <f t="shared" si="0"/>
        <v>18.380821368840618</v>
      </c>
      <c r="R51" s="2">
        <v>0.33687500000000009</v>
      </c>
      <c r="S51" s="2">
        <f t="shared" si="1"/>
        <v>0.49125000000000008</v>
      </c>
      <c r="T51" s="2">
        <v>0.50874999999999992</v>
      </c>
      <c r="U51" s="3">
        <v>7855650418.0133533</v>
      </c>
      <c r="V51" s="3">
        <v>112835951.56526178</v>
      </c>
      <c r="W51" s="2">
        <f t="shared" si="2"/>
        <v>1.436366762280103E-2</v>
      </c>
      <c r="X51" s="2">
        <v>0.49707271826460753</v>
      </c>
      <c r="Y51" s="2">
        <v>0.54463814652891485</v>
      </c>
      <c r="Z51" s="2">
        <v>0.34871354144153299</v>
      </c>
      <c r="AA51" s="2">
        <v>0.20725825140187598</v>
      </c>
      <c r="AB51" s="2">
        <v>0.31258178519035434</v>
      </c>
      <c r="AC51" s="1" t="s">
        <v>240</v>
      </c>
      <c r="AD51" s="1">
        <v>16.028956485015375</v>
      </c>
      <c r="AE51" s="1">
        <v>14.287227013457388</v>
      </c>
      <c r="AF51" s="1">
        <v>1.4083333333333317</v>
      </c>
      <c r="AG51" s="1">
        <v>2.1049999999999978</v>
      </c>
      <c r="AH51" s="1">
        <v>2.0766666666666675</v>
      </c>
      <c r="AI51" s="1">
        <v>50.212072289952737</v>
      </c>
      <c r="AJ51" s="1">
        <v>75.050706866521068</v>
      </c>
      <c r="AK51" s="2">
        <v>74.040523163646384</v>
      </c>
      <c r="AL51" s="2"/>
      <c r="AM51" s="2"/>
    </row>
    <row r="52" spans="1:39" x14ac:dyDescent="0.35">
      <c r="A52" s="1" t="s">
        <v>138</v>
      </c>
      <c r="B52" s="1" t="s">
        <v>50</v>
      </c>
      <c r="C52" s="1" t="s">
        <v>244</v>
      </c>
      <c r="D52" s="1">
        <v>321331.00000000012</v>
      </c>
      <c r="E52" s="1">
        <v>6155264</v>
      </c>
      <c r="F52" s="1">
        <v>1</v>
      </c>
      <c r="G52" s="1" t="s">
        <v>225</v>
      </c>
      <c r="H52" s="1" t="s">
        <v>95</v>
      </c>
      <c r="I52" s="1" t="s">
        <v>105</v>
      </c>
      <c r="J52" s="2">
        <v>6.4</v>
      </c>
      <c r="K52" s="2">
        <v>5.1648924980332644</v>
      </c>
      <c r="L52" s="2">
        <v>0.23748253842767519</v>
      </c>
      <c r="M52" s="2">
        <v>2.8197361372577538</v>
      </c>
      <c r="N52" s="2">
        <v>11.849690467580265</v>
      </c>
      <c r="O52" s="2">
        <v>5.1631374666666667E-2</v>
      </c>
      <c r="P52" s="2">
        <v>0.20875000000000005</v>
      </c>
      <c r="Q52" s="2">
        <f t="shared" si="0"/>
        <v>4.3413951304969265</v>
      </c>
      <c r="R52" s="2">
        <v>0.44075000000000003</v>
      </c>
      <c r="S52" s="2">
        <f t="shared" si="1"/>
        <v>0.64950000000000008</v>
      </c>
      <c r="T52" s="2">
        <v>0.35049999999999998</v>
      </c>
      <c r="U52" s="3">
        <v>5718363918.372839</v>
      </c>
      <c r="V52" s="3">
        <v>60432753.909000002</v>
      </c>
      <c r="W52" s="2">
        <f t="shared" si="2"/>
        <v>1.0568189568144195E-2</v>
      </c>
      <c r="X52" s="2">
        <v>0.26025016294386727</v>
      </c>
      <c r="Y52" s="2">
        <v>0.27363232818160449</v>
      </c>
      <c r="Z52" s="2">
        <v>0.38919906392156089</v>
      </c>
      <c r="AA52" s="2">
        <v>0.43633473564233372</v>
      </c>
      <c r="AB52" s="2">
        <v>0.36792466988972189</v>
      </c>
      <c r="AC52" s="1" t="s">
        <v>241</v>
      </c>
      <c r="AD52" s="1">
        <v>13.819281190081879</v>
      </c>
      <c r="AE52" s="1">
        <v>11.598488252431132</v>
      </c>
      <c r="AF52" s="1">
        <v>0.48666666666666675</v>
      </c>
      <c r="AG52" s="1">
        <v>1.2083333333333344</v>
      </c>
      <c r="AH52" s="1">
        <v>0.97166666666666879</v>
      </c>
      <c r="AI52" s="1">
        <v>16.338324804431331</v>
      </c>
      <c r="AJ52" s="1">
        <v>40.566046175386035</v>
      </c>
      <c r="AK52" s="2">
        <v>32.620696441724263</v>
      </c>
      <c r="AL52" s="2"/>
      <c r="AM52" s="2"/>
    </row>
    <row r="53" spans="1:39" x14ac:dyDescent="0.35">
      <c r="A53" s="1" t="s">
        <v>121</v>
      </c>
      <c r="B53" s="1" t="s">
        <v>49</v>
      </c>
      <c r="C53" s="1" t="s">
        <v>244</v>
      </c>
      <c r="D53" s="1">
        <v>321331.00000000012</v>
      </c>
      <c r="E53" s="1">
        <v>6155264</v>
      </c>
      <c r="F53" s="1">
        <v>1</v>
      </c>
      <c r="G53" s="1" t="s">
        <v>225</v>
      </c>
      <c r="H53" s="1" t="s">
        <v>95</v>
      </c>
      <c r="I53" s="1" t="s">
        <v>106</v>
      </c>
      <c r="J53" s="2">
        <v>6.12</v>
      </c>
      <c r="K53" s="2">
        <v>3.1684880508462534</v>
      </c>
      <c r="L53" s="2">
        <v>0.11815032721768857</v>
      </c>
      <c r="M53" s="2">
        <v>1.1454241420884437</v>
      </c>
      <c r="N53" s="2">
        <v>9.6334279513405416</v>
      </c>
      <c r="O53" s="2">
        <v>4.4494150333333336E-2</v>
      </c>
      <c r="P53" s="2">
        <v>0.24187500000000001</v>
      </c>
      <c r="Q53" s="2">
        <f t="shared" si="0"/>
        <v>1.6570331169453072</v>
      </c>
      <c r="R53" s="2">
        <v>0.44937500000000002</v>
      </c>
      <c r="S53" s="2">
        <f t="shared" si="1"/>
        <v>0.69125000000000003</v>
      </c>
      <c r="T53" s="2">
        <v>0.30875000000000002</v>
      </c>
      <c r="U53" s="3">
        <v>8244579453.1286879</v>
      </c>
      <c r="V53" s="3">
        <v>104146067.5835056</v>
      </c>
      <c r="W53" s="2">
        <f t="shared" si="2"/>
        <v>1.2632065489281422E-2</v>
      </c>
      <c r="X53" s="2">
        <v>0.26025016294386727</v>
      </c>
      <c r="Y53" s="2">
        <v>0.27363232818160449</v>
      </c>
      <c r="Z53" s="2">
        <v>0.38919906392156089</v>
      </c>
      <c r="AA53" s="2">
        <v>0.43633473564233372</v>
      </c>
      <c r="AB53" s="2">
        <v>0.36792466988972189</v>
      </c>
      <c r="AC53" s="1" t="s">
        <v>241</v>
      </c>
      <c r="AD53" s="1">
        <v>14.502018826427284</v>
      </c>
      <c r="AE53" s="1">
        <v>12.74959725859576</v>
      </c>
      <c r="AF53" s="1">
        <v>0.725833333333333</v>
      </c>
      <c r="AG53" s="1">
        <v>1.5558333333333323</v>
      </c>
      <c r="AH53" s="1">
        <v>1.8633333333333344</v>
      </c>
      <c r="AI53" s="1">
        <v>25.524950112463529</v>
      </c>
      <c r="AJ53" s="1">
        <v>54.713067577462006</v>
      </c>
      <c r="AK53" s="2">
        <v>65.526737602145261</v>
      </c>
      <c r="AL53" s="2"/>
      <c r="AM53" s="2"/>
    </row>
    <row r="54" spans="1:39" x14ac:dyDescent="0.35">
      <c r="A54" s="1" t="s">
        <v>124</v>
      </c>
      <c r="B54" s="1" t="s">
        <v>52</v>
      </c>
      <c r="C54" s="1" t="s">
        <v>245</v>
      </c>
      <c r="D54" s="1">
        <v>328312</v>
      </c>
      <c r="E54" s="1">
        <v>6156782</v>
      </c>
      <c r="F54" s="1">
        <v>1</v>
      </c>
      <c r="G54" s="1" t="s">
        <v>225</v>
      </c>
      <c r="H54" s="1" t="s">
        <v>95</v>
      </c>
      <c r="I54" s="1" t="s">
        <v>107</v>
      </c>
      <c r="J54" s="2">
        <v>5.52</v>
      </c>
      <c r="K54" s="2">
        <v>1.4804195561282303</v>
      </c>
      <c r="L54" s="2">
        <v>0.19665413266979184</v>
      </c>
      <c r="M54" s="2">
        <v>2.007096974856768</v>
      </c>
      <c r="N54" s="2">
        <v>10.206197729590054</v>
      </c>
      <c r="O54" s="2">
        <v>2.7138469999999998E-2</v>
      </c>
      <c r="P54" s="2">
        <v>0.11687500000000001</v>
      </c>
      <c r="Q54" s="2">
        <f t="shared" si="0"/>
        <v>4.8218545942504925</v>
      </c>
      <c r="R54" s="2">
        <v>0.29937500000000006</v>
      </c>
      <c r="S54" s="2">
        <f t="shared" si="1"/>
        <v>0.41625000000000006</v>
      </c>
      <c r="T54" s="2">
        <v>0.58374999999999988</v>
      </c>
      <c r="U54" s="3">
        <v>100545.46375307413</v>
      </c>
      <c r="V54" s="3">
        <v>40986767.40820799</v>
      </c>
      <c r="W54" s="2">
        <f t="shared" si="2"/>
        <v>407.64412314876648</v>
      </c>
      <c r="X54" s="2">
        <v>0.28963016543863113</v>
      </c>
      <c r="Y54" s="2">
        <v>0.50947355194859378</v>
      </c>
      <c r="Z54" s="2">
        <v>0.58315643879119383</v>
      </c>
      <c r="AA54" s="2">
        <v>0.67081834991939548</v>
      </c>
      <c r="AB54" s="2">
        <v>0.8159957966131427</v>
      </c>
      <c r="AC54" s="1" t="s">
        <v>241</v>
      </c>
      <c r="AD54" s="1">
        <v>10.510560486603666</v>
      </c>
      <c r="AE54" s="1">
        <v>5.8854207801762639</v>
      </c>
      <c r="AF54" s="1">
        <v>0.15166666666666848</v>
      </c>
      <c r="AG54" s="1">
        <v>1.1008333333333351</v>
      </c>
      <c r="AH54" s="1">
        <v>2.5808333333333331</v>
      </c>
      <c r="AI54" s="1">
        <v>3.3970487217985266</v>
      </c>
      <c r="AJ54" s="1">
        <v>24.656600887339607</v>
      </c>
      <c r="AK54" s="2">
        <v>57.805823579175346</v>
      </c>
      <c r="AL54" s="2"/>
      <c r="AM54" s="2"/>
    </row>
    <row r="55" spans="1:39" x14ac:dyDescent="0.35">
      <c r="A55" s="1" t="s">
        <v>144</v>
      </c>
      <c r="B55" s="1" t="s">
        <v>51</v>
      </c>
      <c r="C55" s="1" t="s">
        <v>245</v>
      </c>
      <c r="D55" s="1">
        <v>328312</v>
      </c>
      <c r="E55" s="1">
        <v>6156782</v>
      </c>
      <c r="F55" s="1">
        <v>1</v>
      </c>
      <c r="G55" s="1" t="s">
        <v>225</v>
      </c>
      <c r="H55" s="1" t="s">
        <v>95</v>
      </c>
      <c r="I55" s="1" t="s">
        <v>108</v>
      </c>
      <c r="J55" s="2">
        <v>5.83</v>
      </c>
      <c r="K55" s="2">
        <v>1.6480757085477216</v>
      </c>
      <c r="L55" s="2">
        <v>0.22910052505873749</v>
      </c>
      <c r="M55" s="2">
        <v>2.2464670716723365</v>
      </c>
      <c r="N55" s="2">
        <v>9.7967631996911049</v>
      </c>
      <c r="O55" s="2">
        <v>3.1432721666666663E-2</v>
      </c>
      <c r="P55" s="2">
        <v>0.13375000000000001</v>
      </c>
      <c r="Q55" s="2">
        <f t="shared" si="0"/>
        <v>5.5640051310769936</v>
      </c>
      <c r="R55" s="2">
        <v>0.27000000000000007</v>
      </c>
      <c r="S55" s="2">
        <f t="shared" si="1"/>
        <v>0.40375000000000005</v>
      </c>
      <c r="T55" s="2">
        <v>0.59624999999999995</v>
      </c>
      <c r="U55" s="3">
        <v>4338601278.1831541</v>
      </c>
      <c r="V55" s="3">
        <v>226263694.59382299</v>
      </c>
      <c r="W55" s="2">
        <f t="shared" si="2"/>
        <v>5.2151299482531353E-2</v>
      </c>
      <c r="X55" s="2">
        <v>0.28963016543863113</v>
      </c>
      <c r="Y55" s="2">
        <v>0.50947355194859378</v>
      </c>
      <c r="Z55" s="2">
        <v>0.58315643879119383</v>
      </c>
      <c r="AA55" s="2">
        <v>0.67081834991939548</v>
      </c>
      <c r="AB55" s="2">
        <v>0.8159957966131427</v>
      </c>
      <c r="AC55" s="1" t="s">
        <v>241</v>
      </c>
      <c r="AD55" s="1">
        <v>9.9228426232750024</v>
      </c>
      <c r="AE55" s="1">
        <v>6.7115316987863007</v>
      </c>
      <c r="AF55" s="1">
        <v>0.32750000000000096</v>
      </c>
      <c r="AG55" s="1">
        <v>0.874999999999999</v>
      </c>
      <c r="AH55" s="1">
        <v>2.0091666666666677</v>
      </c>
      <c r="AI55" s="1">
        <v>8.8604715999297721</v>
      </c>
      <c r="AJ55" s="1">
        <v>23.673015725003111</v>
      </c>
      <c r="AK55" s="2">
        <v>54.357753250459609</v>
      </c>
      <c r="AL55" s="2"/>
      <c r="AM55" s="2"/>
    </row>
    <row r="56" spans="1:39" x14ac:dyDescent="0.35">
      <c r="A56" s="1" t="s">
        <v>145</v>
      </c>
      <c r="B56" s="1" t="s">
        <v>53</v>
      </c>
      <c r="C56" s="1" t="s">
        <v>261</v>
      </c>
      <c r="D56" s="1">
        <v>328211.7</v>
      </c>
      <c r="E56" s="1">
        <v>6156583.5</v>
      </c>
      <c r="F56" s="1">
        <v>1</v>
      </c>
      <c r="G56" s="1" t="s">
        <v>43</v>
      </c>
      <c r="H56" s="1" t="s">
        <v>95</v>
      </c>
      <c r="I56" s="1" t="s">
        <v>43</v>
      </c>
      <c r="J56" s="2">
        <v>5.43</v>
      </c>
      <c r="K56" s="2">
        <v>2.2348693637627335</v>
      </c>
      <c r="L56" s="2">
        <v>0.32935659129210043</v>
      </c>
      <c r="M56" s="2">
        <v>4.2321874749022426</v>
      </c>
      <c r="N56" s="2">
        <v>12.839381642880033</v>
      </c>
      <c r="O56" s="2">
        <v>2.5514053333333332E-2</v>
      </c>
      <c r="P56" s="2">
        <v>0.10125000000000002</v>
      </c>
      <c r="Q56" s="2">
        <f t="shared" si="0"/>
        <v>18.450953569056093</v>
      </c>
      <c r="R56" s="2">
        <v>0.12812500000000002</v>
      </c>
      <c r="S56" s="2">
        <f t="shared" si="1"/>
        <v>0.22937500000000005</v>
      </c>
      <c r="T56" s="2">
        <v>0.770625</v>
      </c>
      <c r="U56" s="3">
        <v>107992180.98988639</v>
      </c>
      <c r="V56" s="3">
        <v>79537656.791867137</v>
      </c>
      <c r="W56" s="2">
        <f t="shared" si="2"/>
        <v>0.73651310736391129</v>
      </c>
      <c r="X56" s="2">
        <v>0.61376512253958515</v>
      </c>
      <c r="Y56" s="2">
        <v>0.65756015237669185</v>
      </c>
      <c r="Z56" s="2">
        <v>0.68288908606549281</v>
      </c>
      <c r="AA56" s="2">
        <v>0.73568576669513164</v>
      </c>
      <c r="AB56" s="2">
        <v>0.82890746418839312</v>
      </c>
      <c r="AC56" s="1" t="s">
        <v>217</v>
      </c>
      <c r="AD56" s="1">
        <v>13.075128301242252</v>
      </c>
      <c r="AE56" s="1">
        <v>8.6626378361647909</v>
      </c>
      <c r="AF56" s="1">
        <v>0.20999999999999908</v>
      </c>
      <c r="AG56" s="1">
        <v>1.1000000000000001</v>
      </c>
      <c r="AH56" s="1">
        <v>1.5050000000000008</v>
      </c>
      <c r="AI56" s="1">
        <v>5.5652347072472317</v>
      </c>
      <c r="AJ56" s="1">
        <v>29.151229418914198</v>
      </c>
      <c r="AK56" s="2">
        <v>39.884182068605355</v>
      </c>
      <c r="AL56" s="2"/>
      <c r="AM56" s="2"/>
    </row>
    <row r="57" spans="1:39" x14ac:dyDescent="0.35">
      <c r="A57" s="1" t="s">
        <v>147</v>
      </c>
      <c r="B57" s="1" t="s">
        <v>54</v>
      </c>
      <c r="C57" s="1" t="s">
        <v>261</v>
      </c>
      <c r="D57" s="1">
        <v>328211.7</v>
      </c>
      <c r="E57" s="1">
        <v>6156583.5</v>
      </c>
      <c r="F57" s="1">
        <v>1</v>
      </c>
      <c r="G57" s="1" t="s">
        <v>43</v>
      </c>
      <c r="H57" s="1" t="s">
        <v>95</v>
      </c>
      <c r="I57" s="1" t="s">
        <v>43</v>
      </c>
      <c r="J57" s="2">
        <v>5.51</v>
      </c>
      <c r="K57" s="2">
        <v>1.8318007796275921</v>
      </c>
      <c r="L57" s="2">
        <v>0.20040064875900387</v>
      </c>
      <c r="M57" s="2">
        <v>2.4138149582781705</v>
      </c>
      <c r="N57" s="2">
        <v>12.03915513397223</v>
      </c>
      <c r="O57" s="2">
        <v>2.6073898000000002E-2</v>
      </c>
      <c r="P57" s="2">
        <v>7.6250000000000012E-2</v>
      </c>
      <c r="Q57" s="2">
        <f t="shared" si="0"/>
        <v>18.657506923889237</v>
      </c>
      <c r="R57" s="2">
        <v>5.3125000000000006E-2</v>
      </c>
      <c r="S57" s="2">
        <f t="shared" si="1"/>
        <v>0.12937500000000002</v>
      </c>
      <c r="T57" s="2">
        <v>0.87062499999999998</v>
      </c>
      <c r="U57" s="3">
        <v>268617980.30715781</v>
      </c>
      <c r="V57" s="3">
        <v>54478250.842033699</v>
      </c>
      <c r="W57" s="2">
        <f t="shared" si="2"/>
        <v>0.20280939786584357</v>
      </c>
      <c r="X57" s="2">
        <v>0.61376512253958515</v>
      </c>
      <c r="Y57" s="2">
        <v>0.65756015237669185</v>
      </c>
      <c r="Z57" s="2">
        <v>0.68288908606549281</v>
      </c>
      <c r="AA57" s="2">
        <v>0.73568576669513164</v>
      </c>
      <c r="AB57" s="2">
        <v>0.82890746418839312</v>
      </c>
      <c r="AC57" s="1" t="s">
        <v>217</v>
      </c>
      <c r="AK57" s="2"/>
      <c r="AL57" s="2"/>
      <c r="AM57" s="2"/>
    </row>
    <row r="58" spans="1:39" x14ac:dyDescent="0.35">
      <c r="A58" s="1" t="s">
        <v>125</v>
      </c>
      <c r="B58" s="1" t="s">
        <v>56</v>
      </c>
      <c r="C58" s="1" t="s">
        <v>246</v>
      </c>
      <c r="D58" s="1">
        <v>314903.59999999998</v>
      </c>
      <c r="E58" s="1">
        <v>6129147.5</v>
      </c>
      <c r="F58" s="1">
        <v>2</v>
      </c>
      <c r="G58" s="1" t="s">
        <v>225</v>
      </c>
      <c r="H58" s="1" t="s">
        <v>95</v>
      </c>
      <c r="I58" s="1" t="s">
        <v>103</v>
      </c>
      <c r="J58" s="2">
        <v>6.16</v>
      </c>
      <c r="K58" s="2">
        <v>3.1346047938954147</v>
      </c>
      <c r="L58" s="2">
        <v>0.55337291876350581</v>
      </c>
      <c r="M58" s="2">
        <v>6.1293165330790558</v>
      </c>
      <c r="N58" s="2">
        <v>11.075688477639877</v>
      </c>
      <c r="O58" s="2">
        <v>6.4639218666666665E-2</v>
      </c>
      <c r="P58" s="2">
        <v>0.19187499999999999</v>
      </c>
      <c r="Q58" s="2">
        <f t="shared" si="0"/>
        <v>17.961367129901991</v>
      </c>
      <c r="R58" s="2">
        <v>0.14937500000000006</v>
      </c>
      <c r="S58" s="2">
        <f t="shared" si="1"/>
        <v>0.34125000000000005</v>
      </c>
      <c r="T58" s="2">
        <v>0.65874999999999995</v>
      </c>
      <c r="U58" s="3">
        <v>14621999435.399223</v>
      </c>
      <c r="V58" s="3">
        <v>30547.381918511928</v>
      </c>
      <c r="W58" s="2">
        <f t="shared" si="2"/>
        <v>2.089138496651699E-6</v>
      </c>
      <c r="X58" s="2">
        <v>0.55592821621999045</v>
      </c>
      <c r="Y58" s="2">
        <v>0.49185376030031985</v>
      </c>
      <c r="Z58" s="2">
        <v>0.40011498835269749</v>
      </c>
      <c r="AA58" s="2">
        <v>0.27827923489731715</v>
      </c>
      <c r="AB58" s="2">
        <v>0.27187198793071909</v>
      </c>
      <c r="AC58" s="1" t="s">
        <v>240</v>
      </c>
      <c r="AD58" s="1">
        <v>17.781933298173509</v>
      </c>
      <c r="AE58" s="1">
        <v>7.6027713083468944</v>
      </c>
      <c r="AF58" s="1">
        <v>0.87166666666667059</v>
      </c>
      <c r="AG58" s="1">
        <v>0.7591666666666681</v>
      </c>
      <c r="AH58" s="1">
        <v>1.8683333333333347</v>
      </c>
      <c r="AI58" s="1">
        <v>14.907450641391049</v>
      </c>
      <c r="AJ58" s="1">
        <v>12.983448885570951</v>
      </c>
      <c r="AK58" s="2">
        <v>31.952681011470947</v>
      </c>
      <c r="AL58" s="2"/>
      <c r="AM58" s="2"/>
    </row>
    <row r="59" spans="1:39" x14ac:dyDescent="0.35">
      <c r="A59" s="1" t="s">
        <v>149</v>
      </c>
      <c r="B59" s="1" t="s">
        <v>55</v>
      </c>
      <c r="C59" s="1" t="s">
        <v>246</v>
      </c>
      <c r="D59" s="1">
        <v>314903.59999999998</v>
      </c>
      <c r="E59" s="1">
        <v>6129147.5</v>
      </c>
      <c r="F59" s="1">
        <v>2</v>
      </c>
      <c r="G59" s="1" t="s">
        <v>225</v>
      </c>
      <c r="H59" s="1" t="s">
        <v>95</v>
      </c>
      <c r="I59" s="1" t="s">
        <v>104</v>
      </c>
      <c r="J59" s="2">
        <v>6.19</v>
      </c>
      <c r="K59" s="2">
        <v>2.1046869805003685</v>
      </c>
      <c r="L59" s="2">
        <v>0.29666032865924435</v>
      </c>
      <c r="M59" s="2">
        <v>3.2594744355003029</v>
      </c>
      <c r="N59" s="2">
        <v>10.974454091463118</v>
      </c>
      <c r="O59" s="2">
        <v>8.0604801000000004E-2</v>
      </c>
      <c r="P59" s="2">
        <v>0.13375000000000001</v>
      </c>
      <c r="Q59" s="2">
        <f t="shared" si="0"/>
        <v>9.5515734373635244</v>
      </c>
      <c r="R59" s="2">
        <v>0.20750000000000007</v>
      </c>
      <c r="S59" s="2">
        <f t="shared" si="1"/>
        <v>0.34125000000000005</v>
      </c>
      <c r="T59" s="2">
        <v>0.65874999999999995</v>
      </c>
      <c r="U59" s="3">
        <v>10247245064.795969</v>
      </c>
      <c r="V59" s="3">
        <v>10609898.270441772</v>
      </c>
      <c r="W59" s="2">
        <f t="shared" si="2"/>
        <v>1.0353903125525595E-3</v>
      </c>
      <c r="X59" s="2">
        <v>0.55592821621999045</v>
      </c>
      <c r="Y59" s="2">
        <v>0.49185376030031985</v>
      </c>
      <c r="Z59" s="2">
        <v>0.40011498835269749</v>
      </c>
      <c r="AA59" s="2">
        <v>0.27827923489731715</v>
      </c>
      <c r="AB59" s="2">
        <v>0.27187198793071909</v>
      </c>
      <c r="AC59" s="1" t="s">
        <v>240</v>
      </c>
      <c r="AD59" s="1">
        <v>17.330761521870706</v>
      </c>
      <c r="AE59" s="1">
        <v>9.5250526815512018</v>
      </c>
      <c r="AF59" s="1">
        <v>0.73666666666666691</v>
      </c>
      <c r="AG59" s="1">
        <v>1.8766666666666671</v>
      </c>
      <c r="AH59" s="1">
        <v>2.3616666666666659</v>
      </c>
      <c r="AI59" s="1">
        <v>16.194992470210437</v>
      </c>
      <c r="AJ59" s="1">
        <v>41.256926519133373</v>
      </c>
      <c r="AK59" s="2">
        <v>51.919240566262829</v>
      </c>
      <c r="AL59" s="2"/>
      <c r="AM59" s="2"/>
    </row>
    <row r="60" spans="1:39" x14ac:dyDescent="0.35">
      <c r="A60" s="1" t="s">
        <v>154</v>
      </c>
      <c r="B60" s="1" t="s">
        <v>58</v>
      </c>
      <c r="C60" s="1" t="s">
        <v>247</v>
      </c>
      <c r="D60" s="1">
        <v>311324</v>
      </c>
      <c r="E60" s="1">
        <v>6124637</v>
      </c>
      <c r="F60" s="1">
        <v>2</v>
      </c>
      <c r="G60" s="1" t="s">
        <v>225</v>
      </c>
      <c r="H60" s="1" t="s">
        <v>95</v>
      </c>
      <c r="I60" s="1" t="s">
        <v>105</v>
      </c>
      <c r="J60" s="2">
        <v>6.18</v>
      </c>
      <c r="K60" s="2">
        <v>4.4522480644620464</v>
      </c>
      <c r="L60" s="2">
        <v>0.58169629984307247</v>
      </c>
      <c r="M60" s="2">
        <v>5.8583507086351538</v>
      </c>
      <c r="N60" s="2">
        <v>10.067153100353471</v>
      </c>
      <c r="O60" s="2">
        <v>9.5458053666666667E-2</v>
      </c>
      <c r="P60" s="2">
        <v>0.14625000000000002</v>
      </c>
      <c r="Q60" s="2">
        <f t="shared" si="0"/>
        <v>12.787668668234987</v>
      </c>
      <c r="R60" s="2">
        <v>0.31187500000000001</v>
      </c>
      <c r="S60" s="2">
        <f t="shared" si="1"/>
        <v>0.458125</v>
      </c>
      <c r="T60" s="2">
        <v>0.541875</v>
      </c>
      <c r="U60" s="3">
        <v>9497921123.8397751</v>
      </c>
      <c r="V60" s="3">
        <v>2082306.391992833</v>
      </c>
      <c r="W60" s="2">
        <f t="shared" si="2"/>
        <v>2.192381221998407E-4</v>
      </c>
      <c r="X60" s="2">
        <v>0.31337608294794195</v>
      </c>
      <c r="Y60" s="2">
        <v>0.25145027478255194</v>
      </c>
      <c r="Z60" s="2">
        <v>0.45285291789002369</v>
      </c>
      <c r="AA60" s="2">
        <v>0.41435543800134295</v>
      </c>
      <c r="AB60" s="2">
        <v>0.41958575326236969</v>
      </c>
      <c r="AC60" s="1" t="s">
        <v>241</v>
      </c>
      <c r="AD60" s="1">
        <v>11.431796019459949</v>
      </c>
      <c r="AE60" s="1">
        <v>5.4488879884323183</v>
      </c>
      <c r="AF60" s="1">
        <v>0.30249999999999949</v>
      </c>
      <c r="AG60" s="1">
        <v>1.0383333333333356</v>
      </c>
      <c r="AH60" s="1">
        <v>2.4675000000000002</v>
      </c>
      <c r="AI60" s="1">
        <v>5.7673828808524901</v>
      </c>
      <c r="AJ60" s="1">
        <v>19.796581458794019</v>
      </c>
      <c r="AK60" s="2">
        <v>47.044685152077825</v>
      </c>
      <c r="AL60" s="2"/>
      <c r="AM60" s="2"/>
    </row>
    <row r="61" spans="1:39" x14ac:dyDescent="0.35">
      <c r="A61" s="1" t="s">
        <v>155</v>
      </c>
      <c r="B61" s="1" t="s">
        <v>57</v>
      </c>
      <c r="C61" s="1" t="s">
        <v>247</v>
      </c>
      <c r="D61" s="1">
        <v>311324</v>
      </c>
      <c r="E61" s="1">
        <v>6124637</v>
      </c>
      <c r="F61" s="1">
        <v>2</v>
      </c>
      <c r="G61" s="1" t="s">
        <v>225</v>
      </c>
      <c r="H61" s="1" t="s">
        <v>95</v>
      </c>
      <c r="I61" s="1" t="s">
        <v>106</v>
      </c>
      <c r="J61" s="2">
        <v>6.1</v>
      </c>
      <c r="K61" s="2">
        <v>2.6178253814932497</v>
      </c>
      <c r="L61" s="2">
        <v>0.35110968358655842</v>
      </c>
      <c r="M61" s="2">
        <v>2.7639154548439944</v>
      </c>
      <c r="N61" s="2">
        <v>7.872639645262498</v>
      </c>
      <c r="O61" s="2">
        <v>5.5144268666666663E-2</v>
      </c>
      <c r="P61" s="2">
        <v>0.18375000000000002</v>
      </c>
      <c r="Q61" s="2">
        <f t="shared" si="0"/>
        <v>5.0253008269890804</v>
      </c>
      <c r="R61" s="2">
        <v>0.36625000000000002</v>
      </c>
      <c r="S61" s="2">
        <f t="shared" si="1"/>
        <v>0.55000000000000004</v>
      </c>
      <c r="T61" s="2">
        <v>0.44999999999999996</v>
      </c>
      <c r="U61" s="3">
        <v>9400078528.7029819</v>
      </c>
      <c r="V61" s="3">
        <v>8257922.9647559896</v>
      </c>
      <c r="W61" s="2">
        <f t="shared" si="2"/>
        <v>8.7849510400796768E-4</v>
      </c>
      <c r="X61" s="2">
        <v>0.31337608294794195</v>
      </c>
      <c r="Y61" s="2">
        <v>0.25145027478255194</v>
      </c>
      <c r="Z61" s="2">
        <v>0.45285291789002369</v>
      </c>
      <c r="AA61" s="2">
        <v>0.41435543800134295</v>
      </c>
      <c r="AB61" s="2">
        <v>0.41958575326236969</v>
      </c>
      <c r="AC61" s="1" t="s">
        <v>241</v>
      </c>
      <c r="AD61" s="1">
        <v>13.373691997042409</v>
      </c>
      <c r="AE61" s="1">
        <v>8.0015511327421169</v>
      </c>
      <c r="AF61" s="1">
        <v>1.83</v>
      </c>
      <c r="AG61" s="1">
        <v>0.58750000000000191</v>
      </c>
      <c r="AH61" s="1">
        <v>1.4141666666666672</v>
      </c>
      <c r="AI61" s="1">
        <v>43.795949768115896</v>
      </c>
      <c r="AJ61" s="1">
        <v>14.060175130474411</v>
      </c>
      <c r="AK61" s="2">
        <v>33.844137867255334</v>
      </c>
      <c r="AL61" s="2"/>
      <c r="AM61" s="2"/>
    </row>
    <row r="62" spans="1:39" x14ac:dyDescent="0.35">
      <c r="A62" s="1" t="s">
        <v>136</v>
      </c>
      <c r="B62" s="1" t="s">
        <v>60</v>
      </c>
      <c r="C62" s="1" t="s">
        <v>248</v>
      </c>
      <c r="D62" s="1">
        <v>323050</v>
      </c>
      <c r="E62" s="1">
        <v>6124499</v>
      </c>
      <c r="F62" s="1">
        <v>2</v>
      </c>
      <c r="G62" s="1" t="s">
        <v>225</v>
      </c>
      <c r="H62" s="1" t="s">
        <v>95</v>
      </c>
      <c r="I62" s="1" t="s">
        <v>107</v>
      </c>
      <c r="J62" s="2">
        <v>5.78</v>
      </c>
      <c r="K62" s="2">
        <v>2.7468050865310834</v>
      </c>
      <c r="L62" s="2">
        <v>0.47413896483817214</v>
      </c>
      <c r="M62" s="2">
        <v>5.167697955909329</v>
      </c>
      <c r="N62" s="2">
        <v>10.910205177841378</v>
      </c>
      <c r="O62" s="2">
        <v>9.9352605666666663E-2</v>
      </c>
      <c r="P62" s="2">
        <v>0.18375000000000002</v>
      </c>
      <c r="Q62" s="2">
        <f t="shared" si="0"/>
        <v>9.0562067135322319</v>
      </c>
      <c r="R62" s="2">
        <v>0.38687499999999986</v>
      </c>
      <c r="S62" s="2">
        <f t="shared" si="1"/>
        <v>0.57062499999999994</v>
      </c>
      <c r="T62" s="2">
        <v>0.42937500000000006</v>
      </c>
      <c r="U62" s="3">
        <v>6169505482.0126791</v>
      </c>
      <c r="V62" s="3">
        <v>2391452.1871640622</v>
      </c>
      <c r="W62" s="2">
        <f t="shared" si="2"/>
        <v>3.8762461499327466E-4</v>
      </c>
      <c r="X62" s="2">
        <v>0.38477299041896618</v>
      </c>
      <c r="Y62" s="2">
        <v>0.60726670652862591</v>
      </c>
      <c r="Z62" s="2">
        <v>0.66616978671903515</v>
      </c>
      <c r="AA62" s="2">
        <v>0.80027370739079839</v>
      </c>
      <c r="AB62" s="2">
        <v>0.85934985775928396</v>
      </c>
      <c r="AC62" s="1" t="s">
        <v>241</v>
      </c>
      <c r="AD62" s="1">
        <v>12.640244490754457</v>
      </c>
      <c r="AE62" s="1">
        <v>6.9522122962146806</v>
      </c>
      <c r="AF62" s="1">
        <v>0.24499999999999891</v>
      </c>
      <c r="AG62" s="1">
        <v>1.2250000000000021</v>
      </c>
      <c r="AH62" s="1">
        <v>2.6608333333333332</v>
      </c>
      <c r="AI62" s="1">
        <v>5.3900603388437309</v>
      </c>
      <c r="AJ62" s="1">
        <v>26.950301694218819</v>
      </c>
      <c r="AK62" s="2">
        <v>58.538988646013983</v>
      </c>
      <c r="AL62" s="2"/>
      <c r="AM62" s="2"/>
    </row>
    <row r="63" spans="1:39" x14ac:dyDescent="0.35">
      <c r="A63" s="1" t="s">
        <v>156</v>
      </c>
      <c r="B63" s="1" t="s">
        <v>59</v>
      </c>
      <c r="C63" s="1" t="s">
        <v>248</v>
      </c>
      <c r="D63" s="1">
        <v>323050</v>
      </c>
      <c r="E63" s="1">
        <v>6124499</v>
      </c>
      <c r="F63" s="1">
        <v>2</v>
      </c>
      <c r="G63" s="1" t="s">
        <v>225</v>
      </c>
      <c r="H63" s="1" t="s">
        <v>95</v>
      </c>
      <c r="I63" s="1" t="s">
        <v>108</v>
      </c>
      <c r="J63" s="2">
        <v>6.04</v>
      </c>
      <c r="K63" s="2">
        <v>2.2659614214453501</v>
      </c>
      <c r="L63" s="2">
        <v>0.33056761375190918</v>
      </c>
      <c r="M63" s="2">
        <v>3.358526392684547</v>
      </c>
      <c r="N63" s="2">
        <v>10.158725246390638</v>
      </c>
      <c r="O63" s="2">
        <v>0.10741107099999998</v>
      </c>
      <c r="P63" s="2">
        <v>0.17937500000000001</v>
      </c>
      <c r="Q63" s="2">
        <f t="shared" si="0"/>
        <v>6.5056201311080804</v>
      </c>
      <c r="R63" s="2">
        <v>0.33687500000000009</v>
      </c>
      <c r="S63" s="2">
        <f t="shared" si="1"/>
        <v>0.5162500000000001</v>
      </c>
      <c r="T63" s="2">
        <v>0.4837499999999999</v>
      </c>
      <c r="U63" s="3">
        <v>9933810976.7592354</v>
      </c>
      <c r="V63" s="3">
        <v>2964840.6998592913</v>
      </c>
      <c r="W63" s="2">
        <f t="shared" si="2"/>
        <v>2.9845954455905388E-4</v>
      </c>
      <c r="X63" s="2">
        <v>0.38477299041896618</v>
      </c>
      <c r="Y63" s="2">
        <v>0.60726670652862591</v>
      </c>
      <c r="Z63" s="2">
        <v>0.66616978671903515</v>
      </c>
      <c r="AA63" s="2">
        <v>0.80027370739079839</v>
      </c>
      <c r="AB63" s="2">
        <v>0.85934985775928396</v>
      </c>
      <c r="AC63" s="1" t="s">
        <v>241</v>
      </c>
      <c r="AD63" s="1">
        <v>11.728007561078778</v>
      </c>
      <c r="AE63" s="1">
        <v>9.363599598114158</v>
      </c>
      <c r="AF63" s="1">
        <v>1.0533333333333357</v>
      </c>
      <c r="AG63" s="1">
        <v>1.77833333333333</v>
      </c>
      <c r="AH63" s="1">
        <v>2.3983333333333321</v>
      </c>
      <c r="AI63" s="1">
        <v>33.639103744824119</v>
      </c>
      <c r="AJ63" s="1">
        <v>56.792600784378465</v>
      </c>
      <c r="AK63" s="2">
        <v>76.592832735445839</v>
      </c>
      <c r="AL63" s="2"/>
      <c r="AM63" s="2"/>
    </row>
    <row r="64" spans="1:39" x14ac:dyDescent="0.35">
      <c r="A64" s="1" t="s">
        <v>157</v>
      </c>
      <c r="B64" s="1" t="s">
        <v>98</v>
      </c>
      <c r="C64" s="1" t="s">
        <v>262</v>
      </c>
      <c r="D64" s="1">
        <v>323150</v>
      </c>
      <c r="E64" s="1">
        <v>6124539</v>
      </c>
      <c r="F64" s="1">
        <v>2</v>
      </c>
      <c r="G64" s="1" t="s">
        <v>43</v>
      </c>
      <c r="H64" s="1" t="s">
        <v>95</v>
      </c>
      <c r="I64" s="1" t="s">
        <v>43</v>
      </c>
      <c r="J64" s="2">
        <v>6.03</v>
      </c>
      <c r="K64" s="2">
        <v>1.4285065629503546</v>
      </c>
      <c r="L64" s="2">
        <v>0.25635584025429198</v>
      </c>
      <c r="M64" s="2">
        <v>1.9808700225738907</v>
      </c>
      <c r="N64" s="2">
        <v>7.8071384096529215</v>
      </c>
      <c r="O64" s="2">
        <v>5.6501455666666672E-2</v>
      </c>
      <c r="P64" s="2">
        <v>0.17624999999999999</v>
      </c>
      <c r="Q64" s="2">
        <f t="shared" si="0"/>
        <v>5.6596286359254027</v>
      </c>
      <c r="R64" s="2">
        <v>0.17374999999999999</v>
      </c>
      <c r="S64" s="2">
        <f t="shared" si="1"/>
        <v>0.35</v>
      </c>
      <c r="T64" s="2">
        <v>0.65</v>
      </c>
      <c r="U64" s="3">
        <v>12475316819.905979</v>
      </c>
      <c r="V64" s="3">
        <v>37555624.782788686</v>
      </c>
      <c r="W64" s="2">
        <f t="shared" si="2"/>
        <v>3.0103944713342941E-3</v>
      </c>
      <c r="X64" s="2">
        <v>0.84937810029282701</v>
      </c>
      <c r="Y64" s="2">
        <v>0.77656516710156298</v>
      </c>
      <c r="Z64" s="2">
        <v>0.73903606228102603</v>
      </c>
      <c r="AA64" s="2">
        <v>0.82561945038806894</v>
      </c>
      <c r="AB64" s="2">
        <v>0.86005905218570144</v>
      </c>
      <c r="AC64" s="1" t="s">
        <v>217</v>
      </c>
      <c r="AD64" s="1">
        <v>12.489293692656505</v>
      </c>
      <c r="AE64" s="1">
        <v>3.3642350086401382</v>
      </c>
      <c r="AF64" s="1">
        <v>0.6308333333333328</v>
      </c>
      <c r="AG64" s="1">
        <v>1.3416666666666675</v>
      </c>
      <c r="AH64" s="1">
        <v>1.1466666666666663</v>
      </c>
      <c r="AI64" s="1">
        <v>6.7970908102353702</v>
      </c>
      <c r="AJ64" s="1">
        <v>14.45616407460893</v>
      </c>
      <c r="AK64" s="2">
        <v>12.355081842647122</v>
      </c>
      <c r="AL64" s="2"/>
      <c r="AM64" s="2"/>
    </row>
    <row r="65" spans="1:39" x14ac:dyDescent="0.35">
      <c r="A65" s="1" t="s">
        <v>158</v>
      </c>
      <c r="B65" s="1" t="s">
        <v>61</v>
      </c>
      <c r="C65" s="1" t="s">
        <v>262</v>
      </c>
      <c r="D65" s="1">
        <v>323150</v>
      </c>
      <c r="E65" s="1">
        <v>6124539</v>
      </c>
      <c r="F65" s="1">
        <v>2</v>
      </c>
      <c r="G65" s="1" t="s">
        <v>43</v>
      </c>
      <c r="H65" s="1" t="s">
        <v>95</v>
      </c>
      <c r="I65" s="1" t="s">
        <v>43</v>
      </c>
      <c r="J65" s="2">
        <v>5.75</v>
      </c>
      <c r="K65" s="2">
        <v>4.3780055627154519</v>
      </c>
      <c r="L65" s="2">
        <v>0.70146599372012297</v>
      </c>
      <c r="M65" s="2">
        <v>10.592729812555719</v>
      </c>
      <c r="N65" s="2">
        <v>15.107070611027993</v>
      </c>
      <c r="O65" s="2">
        <v>8.2807020666666675E-2</v>
      </c>
      <c r="P65" s="2">
        <v>0.15125000000000002</v>
      </c>
      <c r="Q65" s="2">
        <f t="shared" si="0"/>
        <v>30.264942321587764</v>
      </c>
      <c r="R65" s="2">
        <v>0.19875000000000001</v>
      </c>
      <c r="S65" s="2">
        <f t="shared" si="1"/>
        <v>0.35000000000000003</v>
      </c>
      <c r="T65" s="2">
        <v>0.65</v>
      </c>
      <c r="U65" s="3">
        <v>96465.97851481926</v>
      </c>
      <c r="V65" s="3">
        <v>210365400.31673253</v>
      </c>
      <c r="W65" s="2">
        <f t="shared" si="2"/>
        <v>2180.7211574017865</v>
      </c>
      <c r="X65" s="2">
        <v>0.84937810029282701</v>
      </c>
      <c r="Y65" s="2">
        <v>0.77656516710156298</v>
      </c>
      <c r="Z65" s="2">
        <v>0.73903606228102603</v>
      </c>
      <c r="AA65" s="2">
        <v>0.82561945038806894</v>
      </c>
      <c r="AB65" s="2">
        <v>0.86005905218570144</v>
      </c>
      <c r="AC65" s="1" t="s">
        <v>217</v>
      </c>
      <c r="AK65" s="2"/>
      <c r="AL65" s="2"/>
      <c r="AM65" s="2"/>
    </row>
    <row r="66" spans="1:39" x14ac:dyDescent="0.35">
      <c r="A66" s="1" t="s">
        <v>127</v>
      </c>
      <c r="B66" s="1" t="s">
        <v>63</v>
      </c>
      <c r="C66" s="1" t="s">
        <v>249</v>
      </c>
      <c r="D66" s="1">
        <v>303660</v>
      </c>
      <c r="E66" s="1">
        <v>6110061</v>
      </c>
      <c r="F66" s="1">
        <v>3</v>
      </c>
      <c r="G66" s="1" t="s">
        <v>225</v>
      </c>
      <c r="H66" s="1" t="s">
        <v>95</v>
      </c>
      <c r="I66" s="1" t="s">
        <v>103</v>
      </c>
      <c r="J66" s="2">
        <v>6.09</v>
      </c>
      <c r="K66" s="2">
        <v>2.886781320518272</v>
      </c>
      <c r="L66" s="2">
        <v>0.45991812339062071</v>
      </c>
      <c r="M66" s="2">
        <v>4.9077869625524233</v>
      </c>
      <c r="N66" s="2">
        <v>10.693253208822854</v>
      </c>
      <c r="O66" s="2">
        <v>0.10739387666666667</v>
      </c>
      <c r="P66" s="2">
        <v>0.20437500000000003</v>
      </c>
      <c r="Q66" s="2">
        <f t="shared" si="0"/>
        <v>9.0675047806973179</v>
      </c>
      <c r="R66" s="2">
        <v>0.33687499999999998</v>
      </c>
      <c r="S66" s="2">
        <f t="shared" si="1"/>
        <v>0.54125000000000001</v>
      </c>
      <c r="T66" s="2">
        <v>0.45874999999999999</v>
      </c>
      <c r="U66" s="3">
        <v>12389492936.054287</v>
      </c>
      <c r="V66" s="3">
        <v>2838030.2870435333</v>
      </c>
      <c r="W66" s="2">
        <f t="shared" si="2"/>
        <v>2.290675091943971E-4</v>
      </c>
      <c r="X66" s="2">
        <v>9.6989022320201013E-2</v>
      </c>
      <c r="Y66" s="2">
        <v>0.16028517746392404</v>
      </c>
      <c r="Z66" s="2">
        <v>0.2488404443862938</v>
      </c>
      <c r="AA66" s="2">
        <v>0.22014852855277478</v>
      </c>
      <c r="AB66" s="2">
        <v>0.37737261660747473</v>
      </c>
      <c r="AC66" s="1" t="s">
        <v>240</v>
      </c>
      <c r="AD66" s="1">
        <v>13.4658791621587</v>
      </c>
      <c r="AE66" s="1">
        <v>5.5498414365410254</v>
      </c>
      <c r="AF66" s="1">
        <v>0.53916666666666646</v>
      </c>
      <c r="AG66" s="1">
        <v>1.4925000000000004</v>
      </c>
      <c r="AH66" s="1">
        <v>2.3008333333333337</v>
      </c>
      <c r="AI66" s="1">
        <v>8.8885084199394466</v>
      </c>
      <c r="AJ66" s="1">
        <v>24.604820061996222</v>
      </c>
      <c r="AK66" s="2">
        <v>37.930713674579323</v>
      </c>
      <c r="AL66" s="2"/>
      <c r="AM66" s="2"/>
    </row>
    <row r="67" spans="1:39" x14ac:dyDescent="0.35">
      <c r="A67" s="1" t="s">
        <v>159</v>
      </c>
      <c r="B67" s="1" t="s">
        <v>62</v>
      </c>
      <c r="C67" s="1" t="s">
        <v>249</v>
      </c>
      <c r="D67" s="1">
        <v>303660</v>
      </c>
      <c r="E67" s="1">
        <v>6110061</v>
      </c>
      <c r="F67" s="1">
        <v>3</v>
      </c>
      <c r="G67" s="1" t="s">
        <v>225</v>
      </c>
      <c r="H67" s="1" t="s">
        <v>95</v>
      </c>
      <c r="I67" s="1" t="s">
        <v>104</v>
      </c>
      <c r="J67" s="2">
        <v>6.77</v>
      </c>
      <c r="K67" s="2">
        <v>2.4207431349130069</v>
      </c>
      <c r="L67" s="2">
        <v>0.36465128278623543</v>
      </c>
      <c r="M67" s="2">
        <v>3.4209624736899209</v>
      </c>
      <c r="N67" s="2">
        <v>9.3732876000071457</v>
      </c>
      <c r="O67" s="2">
        <v>0.12677734733333335</v>
      </c>
      <c r="P67" s="2">
        <v>0.20875000000000005</v>
      </c>
      <c r="Q67" s="2">
        <f t="shared" ref="Q67:Q130" si="3">M67/SUM(P67,R67)</f>
        <v>7.3966756187890175</v>
      </c>
      <c r="R67" s="2">
        <v>0.25374999999999998</v>
      </c>
      <c r="S67" s="2">
        <f t="shared" ref="S67:S130" si="4">P67+R67</f>
        <v>0.46250000000000002</v>
      </c>
      <c r="T67" s="2">
        <v>0.53749999999999998</v>
      </c>
      <c r="U67" s="3">
        <v>12692486549.100298</v>
      </c>
      <c r="V67" s="3">
        <v>66535498.109954186</v>
      </c>
      <c r="W67" s="2">
        <f t="shared" ref="W67:W130" si="5">V67/U67</f>
        <v>5.242116889591703E-3</v>
      </c>
      <c r="X67" s="2">
        <v>9.6989022320201013E-2</v>
      </c>
      <c r="Y67" s="2">
        <v>0.16028517746392404</v>
      </c>
      <c r="Z67" s="2">
        <v>0.2488404443862938</v>
      </c>
      <c r="AA67" s="2">
        <v>0.22014852855277478</v>
      </c>
      <c r="AB67" s="2">
        <v>0.37737261660747473</v>
      </c>
      <c r="AC67" s="1" t="s">
        <v>240</v>
      </c>
      <c r="AD67" s="1">
        <v>12.695344003262299</v>
      </c>
      <c r="AE67" s="1">
        <v>7.6801198709779346</v>
      </c>
      <c r="AF67" s="1">
        <v>0.38166666666666532</v>
      </c>
      <c r="AG67" s="1">
        <v>1.4166666666666643</v>
      </c>
      <c r="AH67" s="1">
        <v>1.4916666666666689</v>
      </c>
      <c r="AI67" s="1">
        <v>9.2356560011397288</v>
      </c>
      <c r="AJ67" s="1">
        <v>34.280819218204293</v>
      </c>
      <c r="AK67" s="2">
        <v>36.095686117991697</v>
      </c>
      <c r="AL67" s="2"/>
      <c r="AM67" s="2"/>
    </row>
    <row r="68" spans="1:39" x14ac:dyDescent="0.35">
      <c r="A68" s="1" t="s">
        <v>122</v>
      </c>
      <c r="B68" s="1" t="s">
        <v>65</v>
      </c>
      <c r="C68" s="1" t="s">
        <v>250</v>
      </c>
      <c r="D68" s="1">
        <v>305744</v>
      </c>
      <c r="E68" s="1">
        <v>6115148</v>
      </c>
      <c r="F68" s="1">
        <v>3</v>
      </c>
      <c r="G68" s="1" t="s">
        <v>225</v>
      </c>
      <c r="H68" s="1" t="s">
        <v>95</v>
      </c>
      <c r="I68" s="1" t="s">
        <v>105</v>
      </c>
      <c r="J68" s="2">
        <v>6.22</v>
      </c>
      <c r="K68" s="2">
        <v>3.637352344260091</v>
      </c>
      <c r="L68" s="2">
        <v>0.6494293480384683</v>
      </c>
      <c r="M68" s="2">
        <v>7.3273120587168963</v>
      </c>
      <c r="N68" s="2">
        <v>11.27920008892332</v>
      </c>
      <c r="O68" s="2">
        <v>9.1238009999999994E-2</v>
      </c>
      <c r="P68" s="2">
        <v>0.12125000000000002</v>
      </c>
      <c r="Q68" s="2">
        <f t="shared" si="3"/>
        <v>17.240734255804458</v>
      </c>
      <c r="R68" s="2">
        <v>0.30375000000000002</v>
      </c>
      <c r="S68" s="2">
        <f t="shared" si="4"/>
        <v>0.42500000000000004</v>
      </c>
      <c r="T68" s="2">
        <v>0.57499999999999996</v>
      </c>
      <c r="U68" s="3">
        <v>5524354430.6624279</v>
      </c>
      <c r="V68" s="3">
        <v>12052640.571955003</v>
      </c>
      <c r="W68" s="2">
        <f t="shared" si="5"/>
        <v>2.1817283310169087E-3</v>
      </c>
      <c r="X68" s="2">
        <v>0.1724284653457594</v>
      </c>
      <c r="Y68" s="2">
        <v>0.22758520751664488</v>
      </c>
      <c r="Z68" s="2">
        <v>0.27100817002074939</v>
      </c>
      <c r="AA68" s="2">
        <v>0.36648449590827648</v>
      </c>
      <c r="AB68" s="2">
        <v>0.33946333519127536</v>
      </c>
      <c r="AC68" s="1" t="s">
        <v>240</v>
      </c>
      <c r="AD68" s="1">
        <v>13.816347833952786</v>
      </c>
      <c r="AE68" s="1">
        <v>4.830114598644931</v>
      </c>
      <c r="AF68" s="1">
        <v>0.48333333333333189</v>
      </c>
      <c r="AG68" s="1">
        <v>1.7083333333333339</v>
      </c>
      <c r="AH68" s="1">
        <v>2.62</v>
      </c>
      <c r="AI68" s="1">
        <v>6.758820543321943</v>
      </c>
      <c r="AJ68" s="1">
        <v>23.888934678982807</v>
      </c>
      <c r="AK68" s="2">
        <v>36.637468600352157</v>
      </c>
      <c r="AL68" s="2"/>
      <c r="AM68" s="2"/>
    </row>
    <row r="69" spans="1:39" x14ac:dyDescent="0.35">
      <c r="A69" s="1" t="s">
        <v>160</v>
      </c>
      <c r="B69" s="1" t="s">
        <v>64</v>
      </c>
      <c r="C69" s="1" t="s">
        <v>250</v>
      </c>
      <c r="D69" s="1">
        <v>305744</v>
      </c>
      <c r="E69" s="1">
        <v>6115148</v>
      </c>
      <c r="F69" s="1">
        <v>3</v>
      </c>
      <c r="G69" s="1" t="s">
        <v>225</v>
      </c>
      <c r="H69" s="1" t="s">
        <v>95</v>
      </c>
      <c r="I69" s="1" t="s">
        <v>106</v>
      </c>
      <c r="J69" s="2">
        <v>6.02</v>
      </c>
      <c r="K69" s="2">
        <v>4.1062430604502111</v>
      </c>
      <c r="L69" s="2">
        <v>0.67823578821791397</v>
      </c>
      <c r="M69" s="2">
        <v>8.9993453069302429</v>
      </c>
      <c r="N69" s="2">
        <v>13.268651205721637</v>
      </c>
      <c r="O69" s="2">
        <v>9.0333382099999984E-2</v>
      </c>
      <c r="P69" s="2">
        <v>0.141875</v>
      </c>
      <c r="Q69" s="2">
        <f t="shared" si="3"/>
        <v>21.620048785417996</v>
      </c>
      <c r="R69" s="2">
        <v>0.27437500000000009</v>
      </c>
      <c r="S69" s="2">
        <f t="shared" si="4"/>
        <v>0.41625000000000012</v>
      </c>
      <c r="T69" s="2">
        <v>0.58374999999999988</v>
      </c>
      <c r="U69" s="3">
        <v>12432330819.893133</v>
      </c>
      <c r="V69" s="3">
        <v>13943228.090455838</v>
      </c>
      <c r="W69" s="2">
        <f t="shared" si="5"/>
        <v>1.1215296867860931E-3</v>
      </c>
      <c r="X69" s="2">
        <v>0.1724284653457594</v>
      </c>
      <c r="Y69" s="2">
        <v>0.22758520751664488</v>
      </c>
      <c r="Z69" s="2">
        <v>0.27100817002074939</v>
      </c>
      <c r="AA69" s="2">
        <v>0.36648449590827648</v>
      </c>
      <c r="AB69" s="2">
        <v>0.33946333519127536</v>
      </c>
      <c r="AC69" s="1" t="s">
        <v>240</v>
      </c>
      <c r="AD69" s="1">
        <v>18.594840207953514</v>
      </c>
      <c r="AE69" s="1">
        <v>6.4301824143062714</v>
      </c>
      <c r="AF69" s="1">
        <v>0.26999999999999524</v>
      </c>
      <c r="AG69" s="1">
        <v>1.0300000000000014</v>
      </c>
      <c r="AH69" s="1">
        <v>1.2666666666666677</v>
      </c>
      <c r="AI69" s="1">
        <v>2.4897935591402249</v>
      </c>
      <c r="AJ69" s="1">
        <v>14.247152032858224</v>
      </c>
      <c r="AK69" s="2">
        <v>17.520769490246352</v>
      </c>
      <c r="AL69" s="2"/>
      <c r="AM69" s="2"/>
    </row>
    <row r="70" spans="1:39" x14ac:dyDescent="0.35">
      <c r="A70" s="1" t="s">
        <v>123</v>
      </c>
      <c r="B70" s="1" t="s">
        <v>67</v>
      </c>
      <c r="C70" s="1" t="s">
        <v>251</v>
      </c>
      <c r="D70" s="1">
        <v>313940.99999999988</v>
      </c>
      <c r="E70" s="1">
        <v>6115867.0999999996</v>
      </c>
      <c r="F70" s="1">
        <v>3</v>
      </c>
      <c r="G70" s="1" t="s">
        <v>225</v>
      </c>
      <c r="H70" s="1" t="s">
        <v>95</v>
      </c>
      <c r="I70" s="1" t="s">
        <v>107</v>
      </c>
      <c r="J70" s="2">
        <v>5.87</v>
      </c>
      <c r="K70" s="2">
        <v>2.6310482150704444</v>
      </c>
      <c r="L70" s="2">
        <v>0.23638157402054297</v>
      </c>
      <c r="M70" s="2">
        <v>3.0517820511649103</v>
      </c>
      <c r="N70" s="2">
        <v>12.867370467420534</v>
      </c>
      <c r="O70" s="2">
        <v>5.8651316333333335E-2</v>
      </c>
      <c r="P70" s="2">
        <v>0.17937500000000001</v>
      </c>
      <c r="Q70" s="2">
        <f t="shared" si="3"/>
        <v>7.800081919910312</v>
      </c>
      <c r="R70" s="2">
        <v>0.21187500000000006</v>
      </c>
      <c r="S70" s="2">
        <f t="shared" si="4"/>
        <v>0.3912500000000001</v>
      </c>
      <c r="T70" s="2">
        <v>0.6087499999999999</v>
      </c>
      <c r="U70" s="3">
        <v>6842599533.8525028</v>
      </c>
      <c r="V70" s="3">
        <v>31074884.781988911</v>
      </c>
      <c r="W70" s="2">
        <f t="shared" si="5"/>
        <v>4.5413858619449575E-3</v>
      </c>
      <c r="X70" s="2">
        <v>0.17112339481240588</v>
      </c>
      <c r="Y70" s="2">
        <v>0.31212472784450168</v>
      </c>
      <c r="Z70" s="2">
        <v>0.60044391109857309</v>
      </c>
      <c r="AA70" s="2">
        <v>0.72197202186867537</v>
      </c>
      <c r="AB70" s="2">
        <v>0.80708938413855669</v>
      </c>
      <c r="AC70" s="1" t="s">
        <v>241</v>
      </c>
      <c r="AD70" s="1">
        <v>17.115032047585206</v>
      </c>
      <c r="AE70" s="1">
        <v>7.6905963343737245</v>
      </c>
      <c r="AF70" s="1">
        <v>0.59416666666666684</v>
      </c>
      <c r="AG70" s="1">
        <v>1.0825000000000011</v>
      </c>
      <c r="AH70" s="1">
        <v>1.5200000000000011</v>
      </c>
      <c r="AI70" s="1">
        <v>10.679491515923729</v>
      </c>
      <c r="AJ70" s="1">
        <v>19.456745412601588</v>
      </c>
      <c r="AK70" s="2">
        <v>27.320326122082587</v>
      </c>
      <c r="AL70" s="2"/>
      <c r="AM70" s="2"/>
    </row>
    <row r="71" spans="1:39" x14ac:dyDescent="0.35">
      <c r="A71" s="1" t="s">
        <v>151</v>
      </c>
      <c r="B71" s="1" t="s">
        <v>66</v>
      </c>
      <c r="C71" s="1" t="s">
        <v>251</v>
      </c>
      <c r="D71" s="1">
        <v>313940.99999999988</v>
      </c>
      <c r="E71" s="1">
        <v>6115867.0999999996</v>
      </c>
      <c r="F71" s="1">
        <v>3</v>
      </c>
      <c r="G71" s="1" t="s">
        <v>225</v>
      </c>
      <c r="H71" s="1" t="s">
        <v>95</v>
      </c>
      <c r="I71" s="1" t="s">
        <v>108</v>
      </c>
      <c r="J71" s="2">
        <v>5.75</v>
      </c>
      <c r="K71" s="2">
        <v>2.2506663538459839</v>
      </c>
      <c r="L71" s="2">
        <v>0.15296685711020033</v>
      </c>
      <c r="M71" s="2">
        <v>1.9616425849426637</v>
      </c>
      <c r="N71" s="2">
        <v>12.82918980742002</v>
      </c>
      <c r="O71" s="2">
        <v>5.8674180999999999E-2</v>
      </c>
      <c r="P71" s="2">
        <v>0.22125000000000003</v>
      </c>
      <c r="Q71" s="2">
        <f t="shared" si="3"/>
        <v>3.2694043082377728</v>
      </c>
      <c r="R71" s="2">
        <v>0.37874999999999998</v>
      </c>
      <c r="S71" s="2">
        <f t="shared" si="4"/>
        <v>0.6</v>
      </c>
      <c r="T71" s="2">
        <v>0.4</v>
      </c>
      <c r="U71" s="3">
        <v>3650887563.6861897</v>
      </c>
      <c r="V71" s="3">
        <v>103767379.18469946</v>
      </c>
      <c r="W71" s="2">
        <f t="shared" si="5"/>
        <v>2.8422507506620859E-2</v>
      </c>
      <c r="X71" s="2">
        <v>0.17112339481240588</v>
      </c>
      <c r="Y71" s="2">
        <v>0.31212472784450168</v>
      </c>
      <c r="Z71" s="2">
        <v>0.60044391109857309</v>
      </c>
      <c r="AA71" s="2">
        <v>0.72197202186867537</v>
      </c>
      <c r="AB71" s="2">
        <v>0.80708938413855669</v>
      </c>
      <c r="AC71" s="1" t="s">
        <v>241</v>
      </c>
      <c r="AD71" s="1">
        <v>19.216408344698539</v>
      </c>
      <c r="AE71" s="1">
        <v>21.25052707623275</v>
      </c>
      <c r="AF71" s="1">
        <v>0.13083333333333189</v>
      </c>
      <c r="AG71" s="1">
        <v>0.34666666666666551</v>
      </c>
      <c r="AH71" s="1">
        <v>1.2083333333333346</v>
      </c>
      <c r="AI71" s="1">
        <v>5.7872985265548484</v>
      </c>
      <c r="AJ71" s="1">
        <v>15.334498006667738</v>
      </c>
      <c r="AK71" s="2">
        <v>53.449572379010384</v>
      </c>
      <c r="AL71" s="2"/>
      <c r="AM71" s="2"/>
    </row>
    <row r="72" spans="1:39" x14ac:dyDescent="0.35">
      <c r="A72" s="1" t="s">
        <v>161</v>
      </c>
      <c r="B72" s="1" t="s">
        <v>68</v>
      </c>
      <c r="C72" s="1" t="s">
        <v>263</v>
      </c>
      <c r="D72" s="1">
        <v>314062</v>
      </c>
      <c r="E72" s="1">
        <v>6115765.0000000009</v>
      </c>
      <c r="F72" s="1">
        <v>3</v>
      </c>
      <c r="G72" s="1" t="s">
        <v>43</v>
      </c>
      <c r="H72" s="1" t="s">
        <v>95</v>
      </c>
      <c r="I72" s="1" t="s">
        <v>43</v>
      </c>
      <c r="J72" s="2">
        <v>5.84</v>
      </c>
      <c r="K72" s="2">
        <v>3.4939526270721042</v>
      </c>
      <c r="L72" s="2">
        <v>0.29037680413478667</v>
      </c>
      <c r="M72" s="2">
        <v>6.259730970645081</v>
      </c>
      <c r="N72" s="2">
        <v>21.581463045084053</v>
      </c>
      <c r="O72" s="2">
        <v>7.1962099333333349E-2</v>
      </c>
      <c r="P72" s="2">
        <v>0.17125000000000001</v>
      </c>
      <c r="Q72" s="2">
        <f t="shared" si="3"/>
        <v>15.999312385035347</v>
      </c>
      <c r="R72" s="2">
        <v>0.22000000000000008</v>
      </c>
      <c r="S72" s="2">
        <f t="shared" si="4"/>
        <v>0.3912500000000001</v>
      </c>
      <c r="T72" s="2">
        <v>0.6087499999999999</v>
      </c>
      <c r="U72" s="3">
        <v>8956640086.1528072</v>
      </c>
      <c r="V72" s="3">
        <v>80411632.071494803</v>
      </c>
      <c r="W72" s="2">
        <f t="shared" si="5"/>
        <v>8.977879126326983E-3</v>
      </c>
      <c r="X72" s="2">
        <v>0.84940993128144537</v>
      </c>
      <c r="Y72" s="2">
        <v>0.61241028361890704</v>
      </c>
      <c r="Z72" s="2">
        <v>0.64829080678959772</v>
      </c>
      <c r="AA72" s="2">
        <v>0.73396339190099114</v>
      </c>
      <c r="AB72" s="2">
        <v>0.80703213928862538</v>
      </c>
      <c r="AC72" s="1" t="s">
        <v>217</v>
      </c>
      <c r="AD72" s="1">
        <v>17.393788935225686</v>
      </c>
      <c r="AE72" s="1">
        <v>3.0761086656094001</v>
      </c>
      <c r="AF72" s="1">
        <v>0.57999999999999996</v>
      </c>
      <c r="AG72" s="1">
        <v>1.2800000000000007</v>
      </c>
      <c r="AH72" s="1">
        <v>1.1216666666666673</v>
      </c>
      <c r="AI72" s="1">
        <v>2.7352951986828313</v>
      </c>
      <c r="AJ72" s="1">
        <v>9.0547703128811019</v>
      </c>
      <c r="AK72" s="2">
        <v>7.9347140892825285</v>
      </c>
      <c r="AL72" s="2"/>
      <c r="AM72" s="2"/>
    </row>
    <row r="73" spans="1:39" x14ac:dyDescent="0.35">
      <c r="A73" s="1" t="s">
        <v>162</v>
      </c>
      <c r="B73" s="1" t="s">
        <v>69</v>
      </c>
      <c r="C73" s="1" t="s">
        <v>263</v>
      </c>
      <c r="D73" s="1">
        <v>314062</v>
      </c>
      <c r="E73" s="1">
        <v>6115765.0000000009</v>
      </c>
      <c r="F73" s="1">
        <v>3</v>
      </c>
      <c r="G73" s="1" t="s">
        <v>43</v>
      </c>
      <c r="H73" s="1" t="s">
        <v>95</v>
      </c>
      <c r="I73" s="1" t="s">
        <v>43</v>
      </c>
      <c r="J73" s="2">
        <v>5.24</v>
      </c>
      <c r="K73" s="2">
        <v>3.676491591160628</v>
      </c>
      <c r="L73" s="2">
        <v>0.33250202464610973</v>
      </c>
      <c r="M73" s="2">
        <v>7.2484257284948903</v>
      </c>
      <c r="N73" s="2">
        <v>21.752202665870513</v>
      </c>
      <c r="O73" s="2">
        <v>7.1967886999999994E-2</v>
      </c>
      <c r="P73" s="2">
        <v>0.22625000000000001</v>
      </c>
      <c r="Q73" s="2">
        <f t="shared" si="3"/>
        <v>13.074950581276015</v>
      </c>
      <c r="R73" s="2">
        <v>0.32812499999999994</v>
      </c>
      <c r="S73" s="2">
        <f t="shared" si="4"/>
        <v>0.55437499999999995</v>
      </c>
      <c r="T73" s="2">
        <v>0.44562500000000005</v>
      </c>
      <c r="U73" s="3">
        <v>5980797852.5800858</v>
      </c>
      <c r="V73" s="3">
        <v>89697372.537643299</v>
      </c>
      <c r="W73" s="2">
        <f t="shared" si="5"/>
        <v>1.4997559648157697E-2</v>
      </c>
      <c r="X73" s="2">
        <v>0.84940993128144537</v>
      </c>
      <c r="Y73" s="2">
        <v>0.61241028361890704</v>
      </c>
      <c r="Z73" s="2">
        <v>0.64829080678959772</v>
      </c>
      <c r="AA73" s="2">
        <v>0.73396339190099114</v>
      </c>
      <c r="AB73" s="2">
        <v>0.80703213928862538</v>
      </c>
      <c r="AC73" s="1" t="s">
        <v>217</v>
      </c>
      <c r="AK73" s="2"/>
      <c r="AL73" s="2"/>
      <c r="AM73" s="2"/>
    </row>
    <row r="74" spans="1:39" x14ac:dyDescent="0.35">
      <c r="A74" s="1" t="s">
        <v>118</v>
      </c>
      <c r="B74" s="1" t="s">
        <v>71</v>
      </c>
      <c r="C74" s="1" t="s">
        <v>252</v>
      </c>
      <c r="D74" s="1">
        <v>345670</v>
      </c>
      <c r="E74" s="1">
        <v>6227606</v>
      </c>
      <c r="F74" s="1">
        <v>4</v>
      </c>
      <c r="G74" s="1" t="s">
        <v>225</v>
      </c>
      <c r="H74" s="1" t="s">
        <v>95</v>
      </c>
      <c r="I74" s="1" t="s">
        <v>103</v>
      </c>
      <c r="J74" s="2">
        <v>6.32</v>
      </c>
      <c r="K74" s="2">
        <v>1.3912675198555331</v>
      </c>
      <c r="L74" s="2">
        <v>0.20526218026698081</v>
      </c>
      <c r="M74" s="2">
        <v>2.3260448568509955</v>
      </c>
      <c r="N74" s="2">
        <v>11.331741587782304</v>
      </c>
      <c r="O74" s="2">
        <v>0.12916739766666666</v>
      </c>
      <c r="P74" s="2">
        <v>0.166875</v>
      </c>
      <c r="Q74" s="2">
        <f t="shared" si="3"/>
        <v>6.3509757183644915</v>
      </c>
      <c r="R74" s="2">
        <v>0.19937500000000008</v>
      </c>
      <c r="S74" s="2">
        <f t="shared" si="4"/>
        <v>0.36625000000000008</v>
      </c>
      <c r="T74" s="2">
        <v>0.63374999999999992</v>
      </c>
      <c r="U74" s="3">
        <v>4584945207.5741558</v>
      </c>
      <c r="V74" s="3">
        <v>197733308.18020597</v>
      </c>
      <c r="W74" s="2">
        <f t="shared" si="5"/>
        <v>4.3126645843784138E-2</v>
      </c>
      <c r="X74" s="2">
        <v>0.9071513446351851</v>
      </c>
      <c r="Y74" s="2">
        <v>0.41474836481780647</v>
      </c>
      <c r="Z74" s="2">
        <v>0.27627053654083572</v>
      </c>
      <c r="AA74" s="2">
        <v>0.22014152573527873</v>
      </c>
      <c r="AB74" s="2">
        <v>0.28277351584232335</v>
      </c>
      <c r="AC74" s="1" t="s">
        <v>240</v>
      </c>
      <c r="AD74" s="1">
        <v>17.293783732954367</v>
      </c>
      <c r="AE74" s="1">
        <v>14.35996255999539</v>
      </c>
      <c r="AF74" s="1">
        <v>0.73083333333333422</v>
      </c>
      <c r="AG74" s="1">
        <v>1.7600000000000016</v>
      </c>
      <c r="AH74" s="1">
        <v>1.4875000000000007</v>
      </c>
      <c r="AI74" s="1">
        <v>24.274015371812336</v>
      </c>
      <c r="AJ74" s="1">
        <v>58.456921853212805</v>
      </c>
      <c r="AK74" s="2">
        <v>49.406063214007965</v>
      </c>
      <c r="AL74" s="2"/>
      <c r="AM74" s="2"/>
    </row>
    <row r="75" spans="1:39" x14ac:dyDescent="0.35">
      <c r="A75" s="1" t="s">
        <v>163</v>
      </c>
      <c r="B75" s="1" t="s">
        <v>70</v>
      </c>
      <c r="C75" s="1" t="s">
        <v>252</v>
      </c>
      <c r="D75" s="1">
        <v>345670</v>
      </c>
      <c r="E75" s="1">
        <v>6227606</v>
      </c>
      <c r="F75" s="1">
        <v>4</v>
      </c>
      <c r="G75" s="1" t="s">
        <v>225</v>
      </c>
      <c r="H75" s="1" t="s">
        <v>95</v>
      </c>
      <c r="I75" s="1" t="s">
        <v>104</v>
      </c>
      <c r="J75" s="2">
        <v>5.64</v>
      </c>
      <c r="K75" s="2">
        <v>1.6186993547354158</v>
      </c>
      <c r="L75" s="2">
        <v>0.28182479445482472</v>
      </c>
      <c r="M75" s="2">
        <v>2.9627709774356625</v>
      </c>
      <c r="N75" s="2">
        <v>10.517495491556646</v>
      </c>
      <c r="O75" s="2">
        <v>0.17187163333333333</v>
      </c>
      <c r="P75" s="2">
        <v>0.20437500000000003</v>
      </c>
      <c r="Q75" s="2">
        <f t="shared" si="3"/>
        <v>6.031085959156564</v>
      </c>
      <c r="R75" s="2">
        <v>0.28687500000000005</v>
      </c>
      <c r="S75" s="2">
        <f t="shared" si="4"/>
        <v>0.49125000000000008</v>
      </c>
      <c r="T75" s="2">
        <v>0.50874999999999992</v>
      </c>
      <c r="U75" s="3">
        <v>6519807370.8911896</v>
      </c>
      <c r="V75" s="3">
        <v>322159992.02225405</v>
      </c>
      <c r="W75" s="2">
        <f t="shared" si="5"/>
        <v>4.9412501581042594E-2</v>
      </c>
      <c r="X75" s="2">
        <v>0.9071513446351851</v>
      </c>
      <c r="Y75" s="2">
        <v>0.41474836481780647</v>
      </c>
      <c r="Z75" s="2">
        <v>0.27627053654083572</v>
      </c>
      <c r="AA75" s="2">
        <v>0.22014152573527873</v>
      </c>
      <c r="AB75" s="2">
        <v>0.28277351584232335</v>
      </c>
      <c r="AC75" s="1" t="s">
        <v>240</v>
      </c>
      <c r="AD75" s="1">
        <v>17.404350840383106</v>
      </c>
      <c r="AE75" s="1">
        <v>13.307070052945045</v>
      </c>
      <c r="AF75" s="1">
        <v>0.80583333333333329</v>
      </c>
      <c r="AG75" s="1">
        <v>2.27</v>
      </c>
      <c r="AH75" s="1">
        <v>1.6058333333333341</v>
      </c>
      <c r="AI75" s="1">
        <v>24.64505735608083</v>
      </c>
      <c r="AJ75" s="1">
        <v>69.424132614233898</v>
      </c>
      <c r="AK75" s="2">
        <v>49.111712021890163</v>
      </c>
      <c r="AL75" s="2"/>
      <c r="AM75" s="2"/>
    </row>
    <row r="76" spans="1:39" x14ac:dyDescent="0.35">
      <c r="A76" s="1" t="s">
        <v>164</v>
      </c>
      <c r="B76" s="1" t="s">
        <v>73</v>
      </c>
      <c r="C76" s="1" t="s">
        <v>253</v>
      </c>
      <c r="D76" s="1">
        <v>347526</v>
      </c>
      <c r="E76" s="1">
        <v>6228850</v>
      </c>
      <c r="F76" s="1">
        <v>4</v>
      </c>
      <c r="G76" s="1" t="s">
        <v>225</v>
      </c>
      <c r="H76" s="1" t="s">
        <v>95</v>
      </c>
      <c r="I76" s="1" t="s">
        <v>105</v>
      </c>
      <c r="J76" s="2">
        <v>6.46</v>
      </c>
      <c r="K76" s="2">
        <v>1.9417509900957615</v>
      </c>
      <c r="L76" s="2">
        <v>0.35077608776786984</v>
      </c>
      <c r="M76" s="2">
        <v>3.3257616344683072</v>
      </c>
      <c r="N76" s="2">
        <v>9.492275450721058</v>
      </c>
      <c r="O76" s="2">
        <v>0.45284529233333332</v>
      </c>
      <c r="P76" s="2">
        <v>0.25437500000000002</v>
      </c>
      <c r="Q76" s="2">
        <f t="shared" si="3"/>
        <v>5.7464563878502055</v>
      </c>
      <c r="R76" s="2">
        <v>0.32437500000000008</v>
      </c>
      <c r="S76" s="2">
        <f t="shared" si="4"/>
        <v>0.5787500000000001</v>
      </c>
      <c r="T76" s="2">
        <v>0.4212499999999999</v>
      </c>
      <c r="U76" s="3">
        <v>21897410598.203541</v>
      </c>
      <c r="V76" s="3">
        <v>171546054.60400674</v>
      </c>
      <c r="W76" s="2">
        <f t="shared" si="5"/>
        <v>7.8340794604308296E-3</v>
      </c>
      <c r="X76" s="2">
        <v>0.30971551925682833</v>
      </c>
      <c r="Y76" s="2">
        <v>0.36179217273800313</v>
      </c>
      <c r="Z76" s="2">
        <v>0.30406729112651232</v>
      </c>
      <c r="AA76" s="2">
        <v>0.37072247373292749</v>
      </c>
      <c r="AB76" s="2">
        <v>0.403505603615255</v>
      </c>
      <c r="AC76" s="1" t="s">
        <v>240</v>
      </c>
      <c r="AD76" s="1">
        <v>11.772120205524526</v>
      </c>
      <c r="AE76" s="1">
        <v>5.7426254749127352</v>
      </c>
      <c r="AF76" s="1">
        <v>1.1033333333333319</v>
      </c>
      <c r="AG76" s="1">
        <v>2.0316666666666667</v>
      </c>
      <c r="AH76" s="1">
        <v>2.3916666666666622</v>
      </c>
      <c r="AI76" s="1">
        <v>21.528934454294642</v>
      </c>
      <c r="AJ76" s="1">
        <v>39.643158761004834</v>
      </c>
      <c r="AK76" s="2">
        <v>46.667705350321434</v>
      </c>
      <c r="AL76" s="2"/>
      <c r="AM76" s="2"/>
    </row>
    <row r="77" spans="1:39" x14ac:dyDescent="0.35">
      <c r="A77" s="1" t="s">
        <v>165</v>
      </c>
      <c r="B77" s="1" t="s">
        <v>72</v>
      </c>
      <c r="C77" s="1" t="s">
        <v>253</v>
      </c>
      <c r="D77" s="1">
        <v>347526</v>
      </c>
      <c r="E77" s="1">
        <v>6228850</v>
      </c>
      <c r="F77" s="1">
        <v>4</v>
      </c>
      <c r="G77" s="1" t="s">
        <v>225</v>
      </c>
      <c r="H77" s="1" t="s">
        <v>95</v>
      </c>
      <c r="I77" s="1" t="s">
        <v>106</v>
      </c>
      <c r="J77" s="2">
        <v>5.91</v>
      </c>
      <c r="K77" s="2">
        <v>1.9298172636758757</v>
      </c>
      <c r="L77" s="2">
        <v>0.32284691695868467</v>
      </c>
      <c r="M77" s="2">
        <v>3.4274202012308783</v>
      </c>
      <c r="N77" s="2">
        <v>10.630287233403783</v>
      </c>
      <c r="O77" s="2">
        <v>0.424727362</v>
      </c>
      <c r="P77" s="2">
        <v>0.20875000000000005</v>
      </c>
      <c r="Q77" s="2">
        <f t="shared" si="3"/>
        <v>6.4213961615566797</v>
      </c>
      <c r="R77" s="2">
        <v>0.32500000000000001</v>
      </c>
      <c r="S77" s="2">
        <f t="shared" si="4"/>
        <v>0.53375000000000006</v>
      </c>
      <c r="T77" s="2">
        <v>0.46624999999999994</v>
      </c>
      <c r="U77" s="3">
        <v>7589128256.257597</v>
      </c>
      <c r="V77" s="3">
        <v>657883698.41664803</v>
      </c>
      <c r="W77" s="2">
        <f t="shared" si="5"/>
        <v>8.6687650570958744E-2</v>
      </c>
      <c r="X77" s="2">
        <v>0.30971551925682833</v>
      </c>
      <c r="Y77" s="2">
        <v>0.36179217273800313</v>
      </c>
      <c r="Z77" s="2">
        <v>0.30406729112651232</v>
      </c>
      <c r="AA77" s="2">
        <v>0.37072247373292749</v>
      </c>
      <c r="AB77" s="2">
        <v>0.403505603615255</v>
      </c>
      <c r="AC77" s="1" t="s">
        <v>240</v>
      </c>
      <c r="AD77" s="1">
        <v>14.301046193565851</v>
      </c>
      <c r="AE77" s="1">
        <v>6.1736192909850454</v>
      </c>
      <c r="AF77" s="1">
        <v>0.5850000000000003</v>
      </c>
      <c r="AG77" s="1">
        <v>1.1391666666666651</v>
      </c>
      <c r="AH77" s="1">
        <v>2.3733333333333331</v>
      </c>
      <c r="AI77" s="1">
        <v>10.101547079404936</v>
      </c>
      <c r="AJ77" s="1">
        <v>19.670676435251451</v>
      </c>
      <c r="AK77" s="2">
        <v>40.981775045790933</v>
      </c>
      <c r="AL77" s="2"/>
      <c r="AM77" s="2"/>
    </row>
    <row r="78" spans="1:39" x14ac:dyDescent="0.35">
      <c r="A78" s="1" t="s">
        <v>166</v>
      </c>
      <c r="B78" s="1" t="s">
        <v>75</v>
      </c>
      <c r="C78" s="1" t="s">
        <v>254</v>
      </c>
      <c r="D78" s="1">
        <v>347526</v>
      </c>
      <c r="E78" s="1">
        <v>6228850</v>
      </c>
      <c r="F78" s="1">
        <v>4</v>
      </c>
      <c r="G78" s="1" t="s">
        <v>225</v>
      </c>
      <c r="H78" s="1" t="s">
        <v>95</v>
      </c>
      <c r="I78" s="1" t="s">
        <v>107</v>
      </c>
      <c r="J78" s="2">
        <v>6.23</v>
      </c>
      <c r="K78" s="2">
        <v>2.3988206057820149</v>
      </c>
      <c r="L78" s="2">
        <v>0.3988885802455458</v>
      </c>
      <c r="M78" s="2">
        <v>4.5452965008664696</v>
      </c>
      <c r="N78" s="2">
        <v>11.398410753214682</v>
      </c>
      <c r="O78" s="2">
        <v>0.11880351299999999</v>
      </c>
      <c r="P78" s="2">
        <v>0.15875</v>
      </c>
      <c r="Q78" s="2">
        <f t="shared" si="3"/>
        <v>11.72979742159089</v>
      </c>
      <c r="R78" s="2">
        <v>0.22875000000000001</v>
      </c>
      <c r="S78" s="2">
        <f t="shared" si="4"/>
        <v>0.38750000000000001</v>
      </c>
      <c r="T78" s="2">
        <v>0.61250000000000004</v>
      </c>
      <c r="U78" s="3">
        <v>12432330819.893133</v>
      </c>
      <c r="V78" s="3">
        <v>278477735.95312238</v>
      </c>
      <c r="W78" s="2">
        <f t="shared" si="5"/>
        <v>2.239947922778298E-2</v>
      </c>
      <c r="X78" s="2">
        <v>0.30971551925682833</v>
      </c>
      <c r="Y78" s="2">
        <v>0.36179217273800313</v>
      </c>
      <c r="Z78" s="2">
        <v>0.30406729112651232</v>
      </c>
      <c r="AA78" s="2">
        <v>0.37072247373292749</v>
      </c>
      <c r="AB78" s="2">
        <v>0.403505603615255</v>
      </c>
      <c r="AC78" s="1" t="s">
        <v>240</v>
      </c>
      <c r="AD78" s="1">
        <v>15.047062465438136</v>
      </c>
      <c r="AE78" s="1">
        <v>8.6569830446213256</v>
      </c>
      <c r="AF78" s="1">
        <v>0.61500000000000443</v>
      </c>
      <c r="AG78" s="1">
        <v>1.9616666666666651</v>
      </c>
      <c r="AH78" s="1">
        <v>2.736666666666665</v>
      </c>
      <c r="AI78" s="1">
        <v>14.153047040699263</v>
      </c>
      <c r="AJ78" s="1">
        <v>45.144000994316798</v>
      </c>
      <c r="AK78" s="2">
        <v>62.979141574059632</v>
      </c>
      <c r="AL78" s="2"/>
      <c r="AM78" s="2"/>
    </row>
    <row r="79" spans="1:39" x14ac:dyDescent="0.35">
      <c r="A79" s="1" t="s">
        <v>117</v>
      </c>
      <c r="B79" s="1" t="s">
        <v>74</v>
      </c>
      <c r="C79" s="1" t="s">
        <v>254</v>
      </c>
      <c r="D79" s="1">
        <v>347526</v>
      </c>
      <c r="E79" s="1">
        <v>6228850</v>
      </c>
      <c r="F79" s="1">
        <v>4</v>
      </c>
      <c r="G79" s="1" t="s">
        <v>225</v>
      </c>
      <c r="H79" s="1" t="s">
        <v>95</v>
      </c>
      <c r="I79" s="1" t="s">
        <v>108</v>
      </c>
      <c r="J79" s="2">
        <v>5.92</v>
      </c>
      <c r="K79" s="2">
        <v>1.5696783043190947</v>
      </c>
      <c r="L79" s="2">
        <v>0.23387715462708616</v>
      </c>
      <c r="M79" s="2">
        <v>2.7305441452320736</v>
      </c>
      <c r="N79" s="2">
        <v>11.68086538008184</v>
      </c>
      <c r="O79" s="2">
        <v>0.10822280466666667</v>
      </c>
      <c r="P79" s="2">
        <v>0.19187499999999999</v>
      </c>
      <c r="Q79" s="2">
        <f t="shared" si="3"/>
        <v>5.8563949495594061</v>
      </c>
      <c r="R79" s="2">
        <v>0.27437500000000009</v>
      </c>
      <c r="S79" s="2">
        <f t="shared" si="4"/>
        <v>0.46625000000000005</v>
      </c>
      <c r="T79" s="2">
        <v>0.53374999999999995</v>
      </c>
      <c r="U79" s="3">
        <v>8446206342.0934734</v>
      </c>
      <c r="V79" s="3">
        <v>1690030018.5860081</v>
      </c>
      <c r="W79" s="2">
        <f t="shared" si="5"/>
        <v>0.20009338514066161</v>
      </c>
      <c r="X79" s="2">
        <v>0.30971551925682833</v>
      </c>
      <c r="Y79" s="2">
        <v>0.36179217273800313</v>
      </c>
      <c r="Z79" s="2">
        <v>0.30406729112651232</v>
      </c>
      <c r="AA79" s="2">
        <v>0.37072247373292749</v>
      </c>
      <c r="AB79" s="2">
        <v>0.403505603615255</v>
      </c>
      <c r="AC79" s="1" t="s">
        <v>240</v>
      </c>
      <c r="AD79" s="1">
        <v>21.369891547678428</v>
      </c>
      <c r="AE79" s="1">
        <v>16.932817389459306</v>
      </c>
      <c r="AF79" s="1">
        <v>0.34416666666666673</v>
      </c>
      <c r="AG79" s="1">
        <v>1.1766666666666659</v>
      </c>
      <c r="AH79" s="1">
        <v>2.0433333333333334</v>
      </c>
      <c r="AI79" s="1">
        <v>10.908265594522751</v>
      </c>
      <c r="AJ79" s="1">
        <v>37.294118691201241</v>
      </c>
      <c r="AK79" s="2">
        <v>64.762874667723437</v>
      </c>
      <c r="AL79" s="2"/>
      <c r="AM79" s="2"/>
    </row>
    <row r="80" spans="1:39" x14ac:dyDescent="0.35">
      <c r="A80" s="1" t="s">
        <v>167</v>
      </c>
      <c r="B80" s="1" t="s">
        <v>76</v>
      </c>
      <c r="C80" s="1" t="s">
        <v>264</v>
      </c>
      <c r="D80" s="1">
        <v>353716</v>
      </c>
      <c r="E80" s="1">
        <v>6232513</v>
      </c>
      <c r="F80" s="1">
        <v>4</v>
      </c>
      <c r="G80" s="1" t="s">
        <v>43</v>
      </c>
      <c r="H80" s="1" t="s">
        <v>95</v>
      </c>
      <c r="I80" s="1" t="s">
        <v>43</v>
      </c>
      <c r="J80" s="2">
        <v>4.79</v>
      </c>
      <c r="K80" s="2">
        <v>2.6914505788652718</v>
      </c>
      <c r="L80" s="2">
        <v>0.22210862843042523</v>
      </c>
      <c r="M80" s="2">
        <v>3.7074145174502111</v>
      </c>
      <c r="N80" s="2">
        <v>16.660499574439569</v>
      </c>
      <c r="O80" s="2">
        <v>4.3594511999999995E-2</v>
      </c>
      <c r="P80" s="2">
        <v>0.11687500000000001</v>
      </c>
      <c r="Q80" s="2">
        <f t="shared" si="3"/>
        <v>10.864218366154462</v>
      </c>
      <c r="R80" s="2">
        <v>0.22437500000000007</v>
      </c>
      <c r="S80" s="2">
        <f t="shared" si="4"/>
        <v>0.34125000000000005</v>
      </c>
      <c r="T80" s="2">
        <v>0.65874999999999995</v>
      </c>
      <c r="U80" s="3">
        <v>8504714485.7142048</v>
      </c>
      <c r="V80" s="3">
        <v>507954866.95161647</v>
      </c>
      <c r="W80" s="2">
        <f t="shared" si="5"/>
        <v>5.972626921278236E-2</v>
      </c>
      <c r="X80" s="2">
        <v>0.76693583977122526</v>
      </c>
      <c r="Y80" s="2">
        <v>0.77889305133303488</v>
      </c>
      <c r="Z80" s="2">
        <v>0.80000487304684398</v>
      </c>
      <c r="AA80" s="2">
        <v>0.81765088069734393</v>
      </c>
      <c r="AB80" s="2">
        <v>0.84521562557317897</v>
      </c>
      <c r="AC80" s="1" t="s">
        <v>217</v>
      </c>
      <c r="AD80" s="1">
        <v>13.158571435713474</v>
      </c>
      <c r="AE80" s="1">
        <v>10.842214925411412</v>
      </c>
      <c r="AF80" s="1">
        <v>0.9125000000000002</v>
      </c>
      <c r="AG80" s="1">
        <v>1.701666666666668</v>
      </c>
      <c r="AH80" s="1">
        <v>1.9150000000000009</v>
      </c>
      <c r="AI80" s="1">
        <v>30.074757484953313</v>
      </c>
      <c r="AJ80" s="1">
        <v>56.084616241346758</v>
      </c>
      <c r="AK80" s="2">
        <v>63.115792420477362</v>
      </c>
      <c r="AL80" s="2"/>
      <c r="AM80" s="2"/>
    </row>
    <row r="81" spans="1:39" x14ac:dyDescent="0.35">
      <c r="A81" s="1" t="s">
        <v>168</v>
      </c>
      <c r="B81" s="1" t="s">
        <v>77</v>
      </c>
      <c r="C81" s="1" t="s">
        <v>264</v>
      </c>
      <c r="D81" s="1">
        <v>353716</v>
      </c>
      <c r="E81" s="1">
        <v>6232513</v>
      </c>
      <c r="F81" s="1">
        <v>4</v>
      </c>
      <c r="G81" s="1" t="s">
        <v>43</v>
      </c>
      <c r="H81" s="1" t="s">
        <v>95</v>
      </c>
      <c r="I81" s="1" t="s">
        <v>43</v>
      </c>
      <c r="J81" s="2">
        <v>4.78</v>
      </c>
      <c r="K81" s="2">
        <v>2.8190700078228255</v>
      </c>
      <c r="L81" s="2">
        <v>0.25535987740878602</v>
      </c>
      <c r="M81" s="2">
        <v>4.0676268101068045</v>
      </c>
      <c r="N81" s="2">
        <v>15.926960663584966</v>
      </c>
      <c r="O81" s="2">
        <v>3.9740406999999998E-2</v>
      </c>
      <c r="P81" s="2">
        <v>0.10875000000000001</v>
      </c>
      <c r="Q81" s="2">
        <f t="shared" si="3"/>
        <v>10.16906702526701</v>
      </c>
      <c r="R81" s="2">
        <v>0.29125000000000001</v>
      </c>
      <c r="S81" s="2">
        <f t="shared" si="4"/>
        <v>0.4</v>
      </c>
      <c r="T81" s="2">
        <v>0.6</v>
      </c>
      <c r="U81" s="3">
        <v>4264367371.294992</v>
      </c>
      <c r="V81" s="3">
        <v>423373545.7106024</v>
      </c>
      <c r="W81" s="2">
        <f t="shared" si="5"/>
        <v>9.9281677409053387E-2</v>
      </c>
      <c r="X81" s="2">
        <v>0.76693583977122526</v>
      </c>
      <c r="Y81" s="2">
        <v>0.77889305133303488</v>
      </c>
      <c r="Z81" s="2">
        <v>0.80000487304684398</v>
      </c>
      <c r="AA81" s="2">
        <v>0.81765088069734393</v>
      </c>
      <c r="AB81" s="2">
        <v>0.84521562557317897</v>
      </c>
      <c r="AC81" s="1" t="s">
        <v>217</v>
      </c>
      <c r="AK81" s="2"/>
      <c r="AL81" s="2"/>
      <c r="AM81" s="2"/>
    </row>
    <row r="82" spans="1:39" x14ac:dyDescent="0.35">
      <c r="A82" s="1" t="s">
        <v>169</v>
      </c>
      <c r="B82" s="1" t="s">
        <v>79</v>
      </c>
      <c r="C82" s="1" t="s">
        <v>255</v>
      </c>
      <c r="D82" s="1">
        <v>322204</v>
      </c>
      <c r="E82" s="1">
        <v>6169551.9000000004</v>
      </c>
      <c r="F82" s="1">
        <v>5</v>
      </c>
      <c r="G82" s="1" t="s">
        <v>225</v>
      </c>
      <c r="H82" s="1" t="s">
        <v>95</v>
      </c>
      <c r="I82" s="1" t="s">
        <v>103</v>
      </c>
      <c r="J82" s="2">
        <v>5.77</v>
      </c>
      <c r="K82" s="2">
        <v>5.0668310546955668</v>
      </c>
      <c r="L82" s="2">
        <v>0.94081330994449752</v>
      </c>
      <c r="M82" s="2">
        <v>10.682963923576414</v>
      </c>
      <c r="N82" s="2">
        <v>11.333909296935881</v>
      </c>
      <c r="O82" s="2">
        <v>9.4888944666666655E-2</v>
      </c>
      <c r="P82" s="2">
        <v>0.17937500000000001</v>
      </c>
      <c r="Q82" s="2">
        <f t="shared" si="3"/>
        <v>24.21068311292105</v>
      </c>
      <c r="R82" s="2">
        <v>0.26187500000000002</v>
      </c>
      <c r="S82" s="2">
        <f t="shared" si="4"/>
        <v>0.44125000000000003</v>
      </c>
      <c r="T82" s="2">
        <v>0.55874999999999997</v>
      </c>
      <c r="U82" s="3">
        <v>8131532556.344614</v>
      </c>
      <c r="V82" s="3">
        <v>43764318.913866714</v>
      </c>
      <c r="W82" s="2">
        <f t="shared" si="5"/>
        <v>5.3820505065456182E-3</v>
      </c>
      <c r="X82" s="2">
        <v>0</v>
      </c>
      <c r="Y82" s="2">
        <v>0.22319526600585063</v>
      </c>
      <c r="Z82" s="2">
        <v>0.16963024897294132</v>
      </c>
      <c r="AA82" s="2">
        <v>0.17474353314797414</v>
      </c>
      <c r="AB82" s="2">
        <v>0.24237454182034887</v>
      </c>
      <c r="AC82" s="1" t="s">
        <v>240</v>
      </c>
      <c r="AD82" s="1">
        <v>11.652548478709328</v>
      </c>
      <c r="AE82" s="1">
        <v>2.4780565937242272</v>
      </c>
      <c r="AF82" s="1">
        <v>1.0600000000000007</v>
      </c>
      <c r="AG82" s="1">
        <v>1.7274999999999989</v>
      </c>
      <c r="AH82" s="1">
        <v>2.7375000000000003</v>
      </c>
      <c r="AI82" s="1">
        <v>9.0168772750340995</v>
      </c>
      <c r="AJ82" s="1">
        <v>14.694958011906968</v>
      </c>
      <c r="AK82" s="2">
        <v>23.286510887175314</v>
      </c>
      <c r="AL82" s="2"/>
      <c r="AM82" s="2"/>
    </row>
    <row r="83" spans="1:39" x14ac:dyDescent="0.35">
      <c r="A83" s="1" t="s">
        <v>170</v>
      </c>
      <c r="B83" s="1" t="s">
        <v>78</v>
      </c>
      <c r="C83" s="1" t="s">
        <v>255</v>
      </c>
      <c r="D83" s="1">
        <v>322204</v>
      </c>
      <c r="E83" s="1">
        <v>6169551.9000000004</v>
      </c>
      <c r="F83" s="1">
        <v>5</v>
      </c>
      <c r="G83" s="1" t="s">
        <v>225</v>
      </c>
      <c r="H83" s="1" t="s">
        <v>95</v>
      </c>
      <c r="I83" s="1" t="s">
        <v>104</v>
      </c>
      <c r="J83" s="2">
        <v>5.82</v>
      </c>
      <c r="K83" s="2">
        <v>1.2470193324447034</v>
      </c>
      <c r="L83" s="2">
        <v>0.16415623906411739</v>
      </c>
      <c r="M83" s="2">
        <v>1.9107808456736148</v>
      </c>
      <c r="N83" s="2">
        <v>11.681234665771598</v>
      </c>
      <c r="O83" s="2">
        <v>4.8529178333333332E-2</v>
      </c>
      <c r="P83" s="2">
        <v>0.19187499999999999</v>
      </c>
      <c r="Q83" s="2">
        <f t="shared" si="3"/>
        <v>3.7012704032418684</v>
      </c>
      <c r="R83" s="2">
        <v>0.32437500000000008</v>
      </c>
      <c r="S83" s="2">
        <f t="shared" si="4"/>
        <v>0.5162500000000001</v>
      </c>
      <c r="T83" s="2">
        <v>0.4837499999999999</v>
      </c>
      <c r="U83" s="3">
        <v>7964861922.2191505</v>
      </c>
      <c r="V83" s="3">
        <v>125865973.89529435</v>
      </c>
      <c r="W83" s="2">
        <f t="shared" si="5"/>
        <v>1.5802656106840063E-2</v>
      </c>
      <c r="X83" s="2">
        <v>0</v>
      </c>
      <c r="Y83" s="2">
        <v>0.22319526600585063</v>
      </c>
      <c r="Z83" s="2">
        <v>0.16963024897294132</v>
      </c>
      <c r="AA83" s="2">
        <v>0.17474353314797414</v>
      </c>
      <c r="AB83" s="2">
        <v>0.24237454182034887</v>
      </c>
      <c r="AC83" s="1" t="s">
        <v>240</v>
      </c>
      <c r="AD83" s="1">
        <v>15.94815045411204</v>
      </c>
      <c r="AE83" s="1">
        <v>16.803885002705581</v>
      </c>
      <c r="AF83" s="1">
        <v>0.79250000000000054</v>
      </c>
      <c r="AG83" s="1">
        <v>1.8191666666666688</v>
      </c>
      <c r="AH83" s="1">
        <v>1.8116666666666668</v>
      </c>
      <c r="AI83" s="1">
        <v>33.400936122246158</v>
      </c>
      <c r="AJ83" s="1">
        <v>76.671128869467282</v>
      </c>
      <c r="AK83" s="2">
        <v>76.355031682190443</v>
      </c>
      <c r="AL83" s="2"/>
      <c r="AM83" s="2"/>
    </row>
    <row r="84" spans="1:39" x14ac:dyDescent="0.35">
      <c r="A84" s="1" t="s">
        <v>171</v>
      </c>
      <c r="B84" s="1" t="s">
        <v>81</v>
      </c>
      <c r="C84" s="1" t="s">
        <v>256</v>
      </c>
      <c r="D84" s="1">
        <v>329995.00000000012</v>
      </c>
      <c r="E84" s="1">
        <v>6161463</v>
      </c>
      <c r="F84" s="1">
        <v>5</v>
      </c>
      <c r="G84" s="1" t="s">
        <v>225</v>
      </c>
      <c r="H84" s="1" t="s">
        <v>95</v>
      </c>
      <c r="I84" s="1" t="s">
        <v>105</v>
      </c>
      <c r="J84" s="2">
        <v>6.05</v>
      </c>
      <c r="K84" s="2">
        <v>1.1414549034276333</v>
      </c>
      <c r="L84" s="2">
        <v>0.17333057352097084</v>
      </c>
      <c r="M84" s="2">
        <v>2.0960677983764162</v>
      </c>
      <c r="N84" s="2">
        <v>12.094392579853491</v>
      </c>
      <c r="O84" s="2">
        <v>6.9596922333333325E-2</v>
      </c>
      <c r="P84" s="2">
        <v>0.15875</v>
      </c>
      <c r="Q84" s="2">
        <f t="shared" si="3"/>
        <v>5.2401694959410401</v>
      </c>
      <c r="R84" s="2">
        <v>0.24124999999999999</v>
      </c>
      <c r="S84" s="2">
        <f t="shared" si="4"/>
        <v>0.4</v>
      </c>
      <c r="T84" s="2">
        <v>0.6</v>
      </c>
      <c r="U84" s="3">
        <v>9596782133.1732006</v>
      </c>
      <c r="V84" s="3">
        <v>76413568.671237081</v>
      </c>
      <c r="W84" s="2">
        <f t="shared" si="5"/>
        <v>7.9624156942250737E-3</v>
      </c>
      <c r="X84" s="2">
        <v>0</v>
      </c>
      <c r="Y84" s="2">
        <v>1.8336243540096352E-2</v>
      </c>
      <c r="Z84" s="2">
        <v>4.0715233992491273E-2</v>
      </c>
      <c r="AA84" s="2">
        <v>0.23977742599418442</v>
      </c>
      <c r="AB84" s="2">
        <v>0.44971202691909373</v>
      </c>
      <c r="AC84" s="1" t="s">
        <v>240</v>
      </c>
      <c r="AD84" s="1">
        <v>10.991777833045266</v>
      </c>
      <c r="AE84" s="1">
        <v>5.4564733838082322</v>
      </c>
      <c r="AF84" s="1">
        <v>0.25833333333333358</v>
      </c>
      <c r="AG84" s="1">
        <v>1.5225000000000009</v>
      </c>
      <c r="AH84" s="1">
        <v>2.2975000000000008</v>
      </c>
      <c r="AI84" s="1">
        <v>5.1296122570674942</v>
      </c>
      <c r="AJ84" s="1">
        <v>30.231618044071954</v>
      </c>
      <c r="AK84" s="2">
        <v>45.620454815274421</v>
      </c>
      <c r="AL84" s="2"/>
      <c r="AM84" s="2"/>
    </row>
    <row r="85" spans="1:39" x14ac:dyDescent="0.35">
      <c r="A85" s="1" t="s">
        <v>172</v>
      </c>
      <c r="B85" s="1" t="s">
        <v>80</v>
      </c>
      <c r="C85" s="1" t="s">
        <v>256</v>
      </c>
      <c r="D85" s="1">
        <v>329995.00000000012</v>
      </c>
      <c r="E85" s="1">
        <v>6161463</v>
      </c>
      <c r="F85" s="1">
        <v>5</v>
      </c>
      <c r="G85" s="1" t="s">
        <v>225</v>
      </c>
      <c r="H85" s="1" t="s">
        <v>95</v>
      </c>
      <c r="I85" s="1" t="s">
        <v>106</v>
      </c>
      <c r="J85" s="2">
        <v>5.41</v>
      </c>
      <c r="K85" s="2">
        <v>1.2157551697455722</v>
      </c>
      <c r="L85" s="2">
        <v>0.18025933896877322</v>
      </c>
      <c r="M85" s="2">
        <v>1.9969199737646572</v>
      </c>
      <c r="N85" s="2">
        <v>11.078982256143371</v>
      </c>
      <c r="O85" s="2">
        <v>2.7488688333333334E-2</v>
      </c>
      <c r="P85" s="2">
        <v>0.18375000000000002</v>
      </c>
      <c r="Q85" s="2">
        <f t="shared" si="3"/>
        <v>3.8681258571712482</v>
      </c>
      <c r="R85" s="2">
        <v>0.33250000000000002</v>
      </c>
      <c r="S85" s="2">
        <f t="shared" si="4"/>
        <v>0.5162500000000001</v>
      </c>
      <c r="T85" s="2">
        <v>0.4837499999999999</v>
      </c>
      <c r="U85" s="3">
        <v>9400078528.7029819</v>
      </c>
      <c r="V85" s="3">
        <v>6559692.8225044049</v>
      </c>
      <c r="W85" s="2">
        <f t="shared" si="5"/>
        <v>6.9783383218283688E-4</v>
      </c>
      <c r="X85" s="2">
        <v>0</v>
      </c>
      <c r="Y85" s="2">
        <v>1.8336243540096352E-2</v>
      </c>
      <c r="Z85" s="2">
        <v>4.0715233992491273E-2</v>
      </c>
      <c r="AA85" s="2">
        <v>0.23977742599418442</v>
      </c>
      <c r="AB85" s="2">
        <v>0.44971202691909373</v>
      </c>
      <c r="AC85" s="1" t="s">
        <v>240</v>
      </c>
      <c r="AD85" s="1">
        <v>1.8027135162257855</v>
      </c>
      <c r="AE85" s="1">
        <v>1.3464513137322729</v>
      </c>
      <c r="AF85" s="1">
        <v>0.50500000000000089</v>
      </c>
      <c r="AG85" s="1">
        <v>0.96500000000000019</v>
      </c>
      <c r="AH85" s="1">
        <v>1.8525000000000016</v>
      </c>
      <c r="AI85" s="1">
        <v>15.087431415245144</v>
      </c>
      <c r="AJ85" s="1">
        <v>28.830438248933749</v>
      </c>
      <c r="AK85" s="2">
        <v>55.34547860740912</v>
      </c>
      <c r="AL85" s="2"/>
      <c r="AM85" s="2"/>
    </row>
    <row r="86" spans="1:39" x14ac:dyDescent="0.35">
      <c r="A86" s="1" t="s">
        <v>173</v>
      </c>
      <c r="B86" s="1" t="s">
        <v>83</v>
      </c>
      <c r="C86" s="1" t="s">
        <v>257</v>
      </c>
      <c r="D86" s="1">
        <v>334921.90000000002</v>
      </c>
      <c r="E86" s="1">
        <v>6165503.5</v>
      </c>
      <c r="F86" s="1">
        <v>5</v>
      </c>
      <c r="G86" s="1" t="s">
        <v>225</v>
      </c>
      <c r="H86" s="1" t="s">
        <v>95</v>
      </c>
      <c r="I86" s="1" t="s">
        <v>107</v>
      </c>
      <c r="J86" s="2">
        <v>5.61</v>
      </c>
      <c r="K86" s="2">
        <v>1.7150754408496933</v>
      </c>
      <c r="L86" s="2">
        <v>0.22623590105783373</v>
      </c>
      <c r="M86" s="2">
        <v>2.6674455927883223</v>
      </c>
      <c r="N86" s="2">
        <v>11.797430161237093</v>
      </c>
      <c r="O86" s="2">
        <v>2.9488596000000002E-2</v>
      </c>
      <c r="P86" s="2">
        <v>0.15875</v>
      </c>
      <c r="Q86" s="2">
        <f t="shared" si="3"/>
        <v>5.9858526626385915</v>
      </c>
      <c r="R86" s="2">
        <v>0.28687499999999999</v>
      </c>
      <c r="S86" s="2">
        <f t="shared" si="4"/>
        <v>0.44562499999999999</v>
      </c>
      <c r="T86" s="2">
        <v>0.55437499999999995</v>
      </c>
      <c r="U86" s="3">
        <v>13274985184.636732</v>
      </c>
      <c r="V86" s="3">
        <v>73680099.046892375</v>
      </c>
      <c r="W86" s="2">
        <f t="shared" si="5"/>
        <v>5.5502961413593935E-3</v>
      </c>
      <c r="X86" s="2">
        <v>5.570423008216337E-3</v>
      </c>
      <c r="Y86" s="2">
        <v>0.38055022016743756</v>
      </c>
      <c r="Z86" s="2">
        <v>0.63505028690473309</v>
      </c>
      <c r="AA86" s="2">
        <v>0.80700882627256121</v>
      </c>
      <c r="AB86" s="2">
        <v>0.88679127665281587</v>
      </c>
      <c r="AC86" s="1" t="s">
        <v>241</v>
      </c>
      <c r="AD86" s="1">
        <v>8.2326934125136439</v>
      </c>
      <c r="AE86" s="1">
        <v>4.5113101022237174</v>
      </c>
      <c r="AF86" s="1">
        <v>0.61250000000000104</v>
      </c>
      <c r="AG86" s="1">
        <v>1.644166666666667</v>
      </c>
      <c r="AH86" s="1">
        <v>2.4925000000000002</v>
      </c>
      <c r="AI86" s="1">
        <v>13.425387290200888</v>
      </c>
      <c r="AJ86" s="1">
        <v>36.038488603491587</v>
      </c>
      <c r="AK86" s="2">
        <v>54.633106646245984</v>
      </c>
      <c r="AL86" s="2"/>
      <c r="AM86" s="2"/>
    </row>
    <row r="87" spans="1:39" x14ac:dyDescent="0.35">
      <c r="A87" s="1" t="s">
        <v>174</v>
      </c>
      <c r="B87" s="1" t="s">
        <v>82</v>
      </c>
      <c r="C87" s="1" t="s">
        <v>257</v>
      </c>
      <c r="D87" s="1">
        <v>334921.90000000002</v>
      </c>
      <c r="E87" s="1">
        <v>6165503.5</v>
      </c>
      <c r="F87" s="1">
        <v>5</v>
      </c>
      <c r="G87" s="1" t="s">
        <v>225</v>
      </c>
      <c r="H87" s="1" t="s">
        <v>95</v>
      </c>
      <c r="I87" s="1" t="s">
        <v>108</v>
      </c>
      <c r="J87" s="2">
        <v>5.32</v>
      </c>
      <c r="K87" s="2">
        <v>1.3652213922512539</v>
      </c>
      <c r="L87" s="2">
        <v>0.18117685012590776</v>
      </c>
      <c r="M87" s="2">
        <v>1.9473724444384735</v>
      </c>
      <c r="N87" s="2">
        <v>10.74726672510751</v>
      </c>
      <c r="O87" s="2">
        <v>3.3803866333333328E-2</v>
      </c>
      <c r="P87" s="2">
        <v>0.15437499999999998</v>
      </c>
      <c r="Q87" s="2">
        <f t="shared" si="3"/>
        <v>4.6783722388912272</v>
      </c>
      <c r="R87" s="2">
        <v>0.26187500000000008</v>
      </c>
      <c r="S87" s="2">
        <f t="shared" si="4"/>
        <v>0.41625000000000006</v>
      </c>
      <c r="T87" s="2">
        <v>0.58374999999999988</v>
      </c>
      <c r="U87" s="3">
        <v>5939652981.6601849</v>
      </c>
      <c r="V87" s="3">
        <v>19565545.045513283</v>
      </c>
      <c r="W87" s="2">
        <f t="shared" si="5"/>
        <v>3.2940552429452778E-3</v>
      </c>
      <c r="X87" s="2">
        <v>5.570423008216337E-3</v>
      </c>
      <c r="Y87" s="2">
        <v>0.38055022016743756</v>
      </c>
      <c r="Z87" s="2">
        <v>0.63505028690473309</v>
      </c>
      <c r="AA87" s="2">
        <v>0.80700882627256121</v>
      </c>
      <c r="AB87" s="2">
        <v>0.88679127665281587</v>
      </c>
      <c r="AC87" s="1" t="s">
        <v>241</v>
      </c>
      <c r="AD87" s="1">
        <v>11.874714746335407</v>
      </c>
      <c r="AE87" s="1">
        <v>12.022347265971661</v>
      </c>
      <c r="AF87" s="1">
        <v>0.38666666666666294</v>
      </c>
      <c r="AG87" s="1">
        <v>1.6933333333333358</v>
      </c>
      <c r="AH87" s="1">
        <v>1.8550000000000011</v>
      </c>
      <c r="AI87" s="1">
        <v>15.658956167437786</v>
      </c>
      <c r="AJ87" s="1">
        <v>68.575428733262768</v>
      </c>
      <c r="AK87" s="2">
        <v>75.122492303269112</v>
      </c>
      <c r="AL87" s="2"/>
      <c r="AM87" s="2"/>
    </row>
    <row r="88" spans="1:39" x14ac:dyDescent="0.35">
      <c r="A88" s="1" t="s">
        <v>131</v>
      </c>
      <c r="B88" s="1" t="s">
        <v>84</v>
      </c>
      <c r="C88" s="1" t="s">
        <v>265</v>
      </c>
      <c r="D88" s="1">
        <v>335139.00000000012</v>
      </c>
      <c r="E88" s="1">
        <v>6165524</v>
      </c>
      <c r="F88" s="1">
        <v>5</v>
      </c>
      <c r="G88" s="1" t="s">
        <v>43</v>
      </c>
      <c r="H88" s="1" t="s">
        <v>95</v>
      </c>
      <c r="I88" s="1" t="s">
        <v>43</v>
      </c>
      <c r="J88" s="2">
        <v>5.86</v>
      </c>
      <c r="K88" s="2">
        <v>4.0524447022670751</v>
      </c>
      <c r="L88" s="2">
        <v>0.59566066678401375</v>
      </c>
      <c r="M88" s="2">
        <v>9.0154958897496105</v>
      </c>
      <c r="N88" s="2">
        <v>15.134948415535293</v>
      </c>
      <c r="O88" s="2">
        <v>5.3730898333333332E-2</v>
      </c>
      <c r="P88" s="2">
        <v>0.12937499999999999</v>
      </c>
      <c r="Q88" s="2">
        <f t="shared" si="3"/>
        <v>24.615688436176406</v>
      </c>
      <c r="R88" s="2">
        <v>0.23687500000000006</v>
      </c>
      <c r="S88" s="2">
        <f t="shared" si="4"/>
        <v>0.36625000000000008</v>
      </c>
      <c r="T88" s="2">
        <v>0.63374999999999992</v>
      </c>
      <c r="U88" s="3">
        <v>22355630131.165894</v>
      </c>
      <c r="V88" s="3">
        <v>51185551.26769454</v>
      </c>
      <c r="W88" s="2">
        <f t="shared" si="5"/>
        <v>2.289604496378609E-3</v>
      </c>
      <c r="X88" s="2">
        <v>0.63646061742448945</v>
      </c>
      <c r="Y88" s="2">
        <v>0.50237125879339928</v>
      </c>
      <c r="Z88" s="2">
        <v>0.68772790308482512</v>
      </c>
      <c r="AA88" s="2">
        <v>0.82294883044298694</v>
      </c>
      <c r="AB88" s="2">
        <v>0.89209375913123812</v>
      </c>
      <c r="AC88" s="1" t="s">
        <v>217</v>
      </c>
      <c r="AD88" s="1">
        <v>13.147509547387376</v>
      </c>
      <c r="AE88" s="1">
        <v>1.883808451664682</v>
      </c>
      <c r="AF88" s="1">
        <v>0.26999999999999985</v>
      </c>
      <c r="AG88" s="1">
        <v>1.125</v>
      </c>
      <c r="AH88" s="1">
        <v>1.5433333333333337</v>
      </c>
      <c r="AI88" s="1">
        <v>1.5474513408527217</v>
      </c>
      <c r="AJ88" s="1">
        <v>6.4477139202196776</v>
      </c>
      <c r="AK88" s="2">
        <v>8.8453082816643303</v>
      </c>
      <c r="AL88" s="2"/>
      <c r="AM88" s="2"/>
    </row>
    <row r="89" spans="1:39" x14ac:dyDescent="0.35">
      <c r="A89" s="1" t="s">
        <v>129</v>
      </c>
      <c r="B89" s="1" t="s">
        <v>85</v>
      </c>
      <c r="C89" s="1" t="s">
        <v>265</v>
      </c>
      <c r="D89" s="1">
        <v>335139.00000000012</v>
      </c>
      <c r="E89" s="1">
        <v>6165524</v>
      </c>
      <c r="F89" s="1">
        <v>5</v>
      </c>
      <c r="G89" s="1" t="s">
        <v>43</v>
      </c>
      <c r="H89" s="1" t="s">
        <v>95</v>
      </c>
      <c r="I89" s="1" t="s">
        <v>43</v>
      </c>
      <c r="J89" s="2">
        <v>6.07</v>
      </c>
      <c r="K89" s="2">
        <v>7.5931641706466975</v>
      </c>
      <c r="L89" s="2">
        <v>1.1477709859409624</v>
      </c>
      <c r="M89" s="2">
        <v>18.144986192271165</v>
      </c>
      <c r="N89" s="2">
        <v>15.795182547285336</v>
      </c>
      <c r="O89" s="2">
        <v>5.5566646666666664E-2</v>
      </c>
      <c r="P89" s="2">
        <v>8.8750000000000023E-2</v>
      </c>
      <c r="Q89" s="2">
        <f t="shared" si="3"/>
        <v>51.202782905879836</v>
      </c>
      <c r="R89" s="2">
        <v>0.265625</v>
      </c>
      <c r="S89" s="2">
        <f t="shared" si="4"/>
        <v>0.354375</v>
      </c>
      <c r="T89" s="2">
        <v>0.645625</v>
      </c>
      <c r="U89" s="3">
        <v>16050200237.360786</v>
      </c>
      <c r="V89" s="3">
        <v>42662468.142902501</v>
      </c>
      <c r="W89" s="2">
        <f t="shared" si="5"/>
        <v>2.6580645419983684E-3</v>
      </c>
      <c r="X89" s="2">
        <v>0.63646061742448945</v>
      </c>
      <c r="Y89" s="2">
        <v>0.50237125879339928</v>
      </c>
      <c r="Z89" s="2">
        <v>0.68772790308482512</v>
      </c>
      <c r="AA89" s="2">
        <v>0.82294883044298694</v>
      </c>
      <c r="AB89" s="2">
        <v>0.89209375913123812</v>
      </c>
      <c r="AC89" s="1" t="s">
        <v>217</v>
      </c>
      <c r="AK89" s="2"/>
      <c r="AL89" s="2"/>
      <c r="AM89" s="2"/>
    </row>
    <row r="90" spans="1:39" x14ac:dyDescent="0.35">
      <c r="A90" s="1" t="s">
        <v>175</v>
      </c>
      <c r="B90" s="1" t="s">
        <v>87</v>
      </c>
      <c r="C90" s="1" t="s">
        <v>258</v>
      </c>
      <c r="D90" s="1">
        <v>302867.00000000012</v>
      </c>
      <c r="E90" s="1">
        <v>6109326</v>
      </c>
      <c r="F90" s="1">
        <v>6</v>
      </c>
      <c r="G90" s="1" t="s">
        <v>225</v>
      </c>
      <c r="H90" s="1" t="s">
        <v>95</v>
      </c>
      <c r="I90" s="1" t="s">
        <v>103</v>
      </c>
      <c r="J90" s="2">
        <v>5.53</v>
      </c>
      <c r="K90" s="2">
        <v>3.697846503705899</v>
      </c>
      <c r="L90" s="2">
        <v>0.44343863573685072</v>
      </c>
      <c r="M90" s="2">
        <v>5.1202118940181753</v>
      </c>
      <c r="N90" s="2">
        <v>11.552499865005828</v>
      </c>
      <c r="O90" s="2">
        <v>9.4064070300000011E-2</v>
      </c>
      <c r="P90" s="2">
        <v>8.3750000000000019E-2</v>
      </c>
      <c r="Q90" s="2">
        <f t="shared" si="3"/>
        <v>23.20775929300023</v>
      </c>
      <c r="R90" s="2">
        <v>0.13687499999999997</v>
      </c>
      <c r="S90" s="2">
        <f t="shared" si="4"/>
        <v>0.22062499999999999</v>
      </c>
      <c r="T90" s="2">
        <v>0.77937500000000004</v>
      </c>
      <c r="U90" s="3">
        <v>13366943006.679865</v>
      </c>
      <c r="V90" s="3">
        <v>45387938.289093688</v>
      </c>
      <c r="W90" s="2">
        <f t="shared" si="5"/>
        <v>3.3955361571012884E-3</v>
      </c>
      <c r="X90" s="2">
        <v>0.30064368750059028</v>
      </c>
      <c r="Y90" s="2">
        <v>0.23035613327306106</v>
      </c>
      <c r="Z90" s="2">
        <v>0.26570682709171972</v>
      </c>
      <c r="AA90" s="2">
        <v>0.28996821053775834</v>
      </c>
      <c r="AB90" s="2">
        <v>0.30734719184445736</v>
      </c>
      <c r="AC90" s="1" t="s">
        <v>240</v>
      </c>
      <c r="AD90" s="1">
        <v>14.818058141771658</v>
      </c>
      <c r="AE90" s="1">
        <v>7.7226412925950969</v>
      </c>
      <c r="AF90" s="1">
        <v>0.68000000000000094</v>
      </c>
      <c r="AG90" s="1">
        <v>1.5241666666666662</v>
      </c>
      <c r="AH90" s="1">
        <v>1.9891666666666659</v>
      </c>
      <c r="AI90" s="1">
        <v>14.175666011624415</v>
      </c>
      <c r="AJ90" s="1">
        <v>31.773643548113984</v>
      </c>
      <c r="AK90" s="2">
        <v>41.467297511945368</v>
      </c>
      <c r="AL90" s="2"/>
      <c r="AM90" s="2"/>
    </row>
    <row r="91" spans="1:39" x14ac:dyDescent="0.35">
      <c r="A91" s="1" t="s">
        <v>119</v>
      </c>
      <c r="B91" s="1" t="s">
        <v>86</v>
      </c>
      <c r="C91" s="1" t="s">
        <v>258</v>
      </c>
      <c r="D91" s="1">
        <v>302867.00000000012</v>
      </c>
      <c r="E91" s="1">
        <v>6109326</v>
      </c>
      <c r="F91" s="1">
        <v>6</v>
      </c>
      <c r="G91" s="1" t="s">
        <v>225</v>
      </c>
      <c r="H91" s="1" t="s">
        <v>95</v>
      </c>
      <c r="I91" s="1" t="s">
        <v>104</v>
      </c>
      <c r="J91" s="2">
        <v>6.04</v>
      </c>
      <c r="K91" s="2">
        <v>3.7176690150134135</v>
      </c>
      <c r="L91" s="2">
        <v>0.46984766891247437</v>
      </c>
      <c r="M91" s="2">
        <v>5.4293928441352692</v>
      </c>
      <c r="N91" s="2">
        <v>11.55796223045099</v>
      </c>
      <c r="O91" s="2">
        <v>8.2663616799999992E-2</v>
      </c>
      <c r="P91" s="2">
        <v>7.1250000000000008E-2</v>
      </c>
      <c r="Q91" s="2">
        <f t="shared" si="3"/>
        <v>27.146964220676345</v>
      </c>
      <c r="R91" s="2">
        <v>0.12875</v>
      </c>
      <c r="S91" s="2">
        <f t="shared" si="4"/>
        <v>0.2</v>
      </c>
      <c r="T91" s="2">
        <v>0.8</v>
      </c>
      <c r="U91" s="3">
        <v>23788627019.949493</v>
      </c>
      <c r="V91" s="3">
        <v>51185551.267694443</v>
      </c>
      <c r="W91" s="2">
        <f t="shared" si="5"/>
        <v>2.1516816092315661E-3</v>
      </c>
      <c r="X91" s="2">
        <v>0.30064368750059028</v>
      </c>
      <c r="Y91" s="2">
        <v>0.23035613327306106</v>
      </c>
      <c r="Z91" s="2">
        <v>0.26570682709171972</v>
      </c>
      <c r="AA91" s="2">
        <v>0.28996821053775834</v>
      </c>
      <c r="AB91" s="2">
        <v>0.30734719184445736</v>
      </c>
      <c r="AC91" s="1" t="s">
        <v>240</v>
      </c>
      <c r="AD91" s="1">
        <v>13.382397264610102</v>
      </c>
      <c r="AE91" s="1">
        <v>6.7214839432118101</v>
      </c>
      <c r="AF91" s="1">
        <v>0.71333333333333337</v>
      </c>
      <c r="AG91" s="1">
        <v>1.9349999999999978</v>
      </c>
      <c r="AH91" s="1">
        <v>2.4241666666666668</v>
      </c>
      <c r="AI91" s="1">
        <v>14.331239616798065</v>
      </c>
      <c r="AJ91" s="1">
        <v>25.916774447200208</v>
      </c>
      <c r="AK91" s="2">
        <v>48.702775753814926</v>
      </c>
      <c r="AL91" s="2"/>
      <c r="AM91" s="2"/>
    </row>
    <row r="92" spans="1:39" x14ac:dyDescent="0.35">
      <c r="A92" s="1" t="s">
        <v>176</v>
      </c>
      <c r="B92" s="1" t="s">
        <v>89</v>
      </c>
      <c r="C92" s="1" t="s">
        <v>259</v>
      </c>
      <c r="D92" s="1">
        <v>312468.99999999988</v>
      </c>
      <c r="E92" s="1">
        <v>6098487</v>
      </c>
      <c r="F92" s="1">
        <v>6</v>
      </c>
      <c r="G92" s="1" t="s">
        <v>225</v>
      </c>
      <c r="H92" s="1" t="s">
        <v>95</v>
      </c>
      <c r="I92" s="1" t="s">
        <v>105</v>
      </c>
      <c r="J92" s="2">
        <v>5.78</v>
      </c>
      <c r="K92" s="2">
        <v>3.668670335250416</v>
      </c>
      <c r="L92" s="2">
        <v>0.46228414929022693</v>
      </c>
      <c r="M92" s="2">
        <v>5.4877484152737894</v>
      </c>
      <c r="N92" s="2">
        <v>11.876780491013173</v>
      </c>
      <c r="O92" s="2">
        <v>8.4535689666666677E-2</v>
      </c>
      <c r="P92" s="2">
        <v>0.12625000000000003</v>
      </c>
      <c r="Q92" s="2">
        <f t="shared" si="3"/>
        <v>13.719371038184475</v>
      </c>
      <c r="R92" s="2">
        <v>0.27374999999999994</v>
      </c>
      <c r="S92" s="2">
        <f t="shared" si="4"/>
        <v>0.39999999999999997</v>
      </c>
      <c r="T92" s="2">
        <v>0.6</v>
      </c>
      <c r="U92" s="3">
        <v>10037209032.700626</v>
      </c>
      <c r="V92" s="3">
        <v>476410615.78884101</v>
      </c>
      <c r="W92" s="2">
        <f t="shared" si="5"/>
        <v>4.746445094813944E-2</v>
      </c>
      <c r="X92" s="2">
        <v>0</v>
      </c>
      <c r="Y92" s="2">
        <v>7.4373741526615068E-3</v>
      </c>
      <c r="Z92" s="2">
        <v>0.43443898891234478</v>
      </c>
      <c r="AA92" s="2">
        <v>0.65303755967716892</v>
      </c>
      <c r="AB92" s="2">
        <v>0.66787311766930502</v>
      </c>
      <c r="AC92" s="1" t="s">
        <v>241</v>
      </c>
      <c r="AD92" s="1">
        <v>10.762558749060572</v>
      </c>
      <c r="AE92" s="1">
        <v>4.9995888806079289</v>
      </c>
      <c r="AF92" s="1">
        <v>0.47583333333333461</v>
      </c>
      <c r="AG92" s="1">
        <v>1.7416666666666683</v>
      </c>
      <c r="AH92" s="1">
        <v>2.4800000000000009</v>
      </c>
      <c r="AI92" s="1">
        <v>8.8416559586765491</v>
      </c>
      <c r="AJ92" s="1">
        <v>32.362628640339672</v>
      </c>
      <c r="AK92" s="2">
        <v>46.081905662033883</v>
      </c>
      <c r="AL92" s="2"/>
      <c r="AM92" s="2"/>
    </row>
    <row r="93" spans="1:39" x14ac:dyDescent="0.35">
      <c r="A93" s="1" t="s">
        <v>177</v>
      </c>
      <c r="B93" s="1" t="s">
        <v>88</v>
      </c>
      <c r="C93" s="1" t="s">
        <v>259</v>
      </c>
      <c r="D93" s="1">
        <v>312468.99999999988</v>
      </c>
      <c r="E93" s="1">
        <v>6098487</v>
      </c>
      <c r="F93" s="1">
        <v>6</v>
      </c>
      <c r="G93" s="1" t="s">
        <v>225</v>
      </c>
      <c r="H93" s="1" t="s">
        <v>95</v>
      </c>
      <c r="I93" s="1" t="s">
        <v>106</v>
      </c>
      <c r="J93" s="2">
        <v>5.61</v>
      </c>
      <c r="K93" s="2">
        <v>2.9631549171408835</v>
      </c>
      <c r="L93" s="2">
        <v>0.39715766645673556</v>
      </c>
      <c r="M93" s="2">
        <v>4.6864271588478212</v>
      </c>
      <c r="N93" s="2">
        <v>11.825269396147112</v>
      </c>
      <c r="O93" s="2">
        <v>8.2926353333333327E-2</v>
      </c>
      <c r="P93" s="2">
        <v>8.3750000000000019E-2</v>
      </c>
      <c r="Q93" s="2">
        <f t="shared" si="3"/>
        <v>10.21564503291078</v>
      </c>
      <c r="R93" s="2">
        <v>0.37500000000000006</v>
      </c>
      <c r="S93" s="2">
        <f t="shared" si="4"/>
        <v>0.4587500000000001</v>
      </c>
      <c r="T93" s="2">
        <v>0.5412499999999999</v>
      </c>
      <c r="U93" s="3">
        <v>11683422891.314659</v>
      </c>
      <c r="V93" s="3">
        <v>166194.66910638884</v>
      </c>
      <c r="W93" s="2">
        <f t="shared" si="5"/>
        <v>1.42248269751441E-5</v>
      </c>
      <c r="X93" s="2">
        <v>0</v>
      </c>
      <c r="Y93" s="2">
        <v>7.4373741526615068E-3</v>
      </c>
      <c r="Z93" s="2">
        <v>0.43443898891234478</v>
      </c>
      <c r="AA93" s="2">
        <v>0.65303755967716892</v>
      </c>
      <c r="AB93" s="2">
        <v>0.66787311766930502</v>
      </c>
      <c r="AC93" s="1" t="s">
        <v>241</v>
      </c>
      <c r="AD93" s="1">
        <v>13.804303572133735</v>
      </c>
      <c r="AE93" s="1">
        <v>6.7948008129989947</v>
      </c>
      <c r="AF93" s="1">
        <v>0.5033333333333343</v>
      </c>
      <c r="AG93" s="1">
        <v>1.1248333333333314</v>
      </c>
      <c r="AH93" s="1">
        <v>1.2500000000000011</v>
      </c>
      <c r="AI93" s="1">
        <v>9.9100971654861869</v>
      </c>
      <c r="AJ93" s="1">
        <v>22.146770122472194</v>
      </c>
      <c r="AK93" s="2">
        <v>24.611168457333218</v>
      </c>
      <c r="AL93" s="2"/>
      <c r="AM93" s="2"/>
    </row>
    <row r="94" spans="1:39" x14ac:dyDescent="0.35">
      <c r="A94" s="1" t="s">
        <v>120</v>
      </c>
      <c r="B94" s="1" t="s">
        <v>91</v>
      </c>
      <c r="C94" s="1" t="s">
        <v>260</v>
      </c>
      <c r="D94" s="1">
        <v>312848</v>
      </c>
      <c r="E94" s="1">
        <v>6098782</v>
      </c>
      <c r="F94" s="1">
        <v>6</v>
      </c>
      <c r="G94" s="1" t="s">
        <v>225</v>
      </c>
      <c r="H94" s="1" t="s">
        <v>95</v>
      </c>
      <c r="I94" s="1" t="s">
        <v>107</v>
      </c>
      <c r="J94" s="2">
        <v>6.75</v>
      </c>
      <c r="K94" s="2">
        <v>1.7200889709203173</v>
      </c>
      <c r="L94" s="2">
        <v>0.13863232361269226</v>
      </c>
      <c r="M94" s="2">
        <v>1.8777163377488792</v>
      </c>
      <c r="N94" s="2">
        <v>13.670400667560337</v>
      </c>
      <c r="O94" s="2">
        <v>4.4331533333333339E-2</v>
      </c>
      <c r="P94" s="2">
        <v>0.17125000000000001</v>
      </c>
      <c r="Q94" s="2">
        <f t="shared" si="3"/>
        <v>3.1295272295814649</v>
      </c>
      <c r="R94" s="2">
        <v>0.42875000000000002</v>
      </c>
      <c r="S94" s="2">
        <f t="shared" si="4"/>
        <v>0.60000000000000009</v>
      </c>
      <c r="T94" s="2">
        <v>0.4</v>
      </c>
      <c r="U94" s="3">
        <v>12958086229.600229</v>
      </c>
      <c r="V94" s="3">
        <v>62997452.84424939</v>
      </c>
      <c r="W94" s="2">
        <f t="shared" si="5"/>
        <v>4.8616324762790937E-3</v>
      </c>
      <c r="X94" s="2">
        <v>0.67628118418608163</v>
      </c>
      <c r="Y94" s="2">
        <v>0.59296200284635536</v>
      </c>
      <c r="Z94" s="2">
        <v>0.63693024673760679</v>
      </c>
      <c r="AA94" s="2">
        <v>0.73062623105424029</v>
      </c>
      <c r="AB94" s="2">
        <v>0.67021547099496348</v>
      </c>
      <c r="AC94" s="1" t="s">
        <v>241</v>
      </c>
      <c r="AD94" s="1">
        <v>11.247223928386783</v>
      </c>
      <c r="AE94" s="1">
        <v>7.4020033669076239</v>
      </c>
      <c r="AF94" s="1">
        <v>0.8925000000000024</v>
      </c>
      <c r="AG94" s="1">
        <v>1.2625000000000015</v>
      </c>
      <c r="AH94" s="1">
        <v>1.6575000000000006</v>
      </c>
      <c r="AI94" s="1">
        <v>23.494821644980373</v>
      </c>
      <c r="AJ94" s="1">
        <v>33.234971794720082</v>
      </c>
      <c r="AK94" s="2">
        <v>43.633240197820577</v>
      </c>
      <c r="AL94" s="2"/>
      <c r="AM94" s="2"/>
    </row>
    <row r="95" spans="1:39" x14ac:dyDescent="0.35">
      <c r="A95" s="1" t="s">
        <v>178</v>
      </c>
      <c r="B95" s="1" t="s">
        <v>90</v>
      </c>
      <c r="C95" s="1" t="s">
        <v>260</v>
      </c>
      <c r="D95" s="1">
        <v>312848</v>
      </c>
      <c r="E95" s="1">
        <v>6098782</v>
      </c>
      <c r="F95" s="1">
        <v>6</v>
      </c>
      <c r="G95" s="1" t="s">
        <v>225</v>
      </c>
      <c r="H95" s="1" t="s">
        <v>95</v>
      </c>
      <c r="I95" s="1" t="s">
        <v>108</v>
      </c>
      <c r="J95" s="2">
        <v>5.87</v>
      </c>
      <c r="K95" s="2">
        <v>1.8241372820626622</v>
      </c>
      <c r="L95" s="2">
        <v>0.1681783509300786</v>
      </c>
      <c r="M95" s="2">
        <v>2.3422860275155037</v>
      </c>
      <c r="N95" s="2">
        <v>13.923970713949272</v>
      </c>
      <c r="O95" s="2">
        <v>4.5451823999999995E-2</v>
      </c>
      <c r="P95" s="2">
        <v>0.23375000000000004</v>
      </c>
      <c r="Q95" s="2">
        <f t="shared" si="3"/>
        <v>4.9311284789800078</v>
      </c>
      <c r="R95" s="2">
        <v>0.24124999999999996</v>
      </c>
      <c r="S95" s="2">
        <f t="shared" si="4"/>
        <v>0.47499999999999998</v>
      </c>
      <c r="T95" s="2">
        <v>0.52500000000000002</v>
      </c>
      <c r="U95" s="3">
        <v>8359197960.2806377</v>
      </c>
      <c r="V95" s="3">
        <v>133906857.81986809</v>
      </c>
      <c r="W95" s="2">
        <f t="shared" si="5"/>
        <v>1.6019103561865224E-2</v>
      </c>
      <c r="X95" s="2">
        <v>0.67628118418608163</v>
      </c>
      <c r="Y95" s="2">
        <v>0.59296200284635536</v>
      </c>
      <c r="Z95" s="2">
        <v>0.63693024673760679</v>
      </c>
      <c r="AA95" s="2">
        <v>0.73062623105424029</v>
      </c>
      <c r="AB95" s="2">
        <v>0.67021547099496348</v>
      </c>
      <c r="AC95" s="1" t="s">
        <v>241</v>
      </c>
      <c r="AD95" s="1">
        <v>19.522570143879197</v>
      </c>
      <c r="AE95" s="1">
        <v>9.0891544863096918</v>
      </c>
      <c r="AF95" s="1">
        <v>0.59750000000000092</v>
      </c>
      <c r="AG95" s="1">
        <v>1.3508333333333324</v>
      </c>
      <c r="AH95" s="1">
        <v>1.9041666666666668</v>
      </c>
      <c r="AI95" s="1">
        <v>11.127161568473561</v>
      </c>
      <c r="AJ95" s="1">
        <v>25.156386195949242</v>
      </c>
      <c r="AK95" s="2">
        <v>35.461037913475671</v>
      </c>
      <c r="AL95" s="2"/>
      <c r="AM95" s="2"/>
    </row>
    <row r="96" spans="1:39" x14ac:dyDescent="0.35">
      <c r="A96" s="1" t="s">
        <v>150</v>
      </c>
      <c r="B96" s="1" t="s">
        <v>92</v>
      </c>
      <c r="C96" s="1" t="s">
        <v>266</v>
      </c>
      <c r="D96" s="1">
        <v>313072.99999999988</v>
      </c>
      <c r="E96" s="1">
        <v>6098841</v>
      </c>
      <c r="F96" s="1">
        <v>6</v>
      </c>
      <c r="G96" s="1" t="s">
        <v>43</v>
      </c>
      <c r="H96" s="1" t="s">
        <v>95</v>
      </c>
      <c r="I96" s="1" t="s">
        <v>43</v>
      </c>
      <c r="J96" s="2">
        <v>6.07</v>
      </c>
      <c r="K96" s="2">
        <v>2.9655784596834196</v>
      </c>
      <c r="L96" s="2">
        <v>0.17259451492698996</v>
      </c>
      <c r="M96" s="2">
        <v>2.7975696604674383</v>
      </c>
      <c r="N96" s="2">
        <v>16.162207287638431</v>
      </c>
      <c r="O96" s="2">
        <v>3.3806204666666666E-2</v>
      </c>
      <c r="P96" s="2">
        <v>0.30875000000000002</v>
      </c>
      <c r="Q96" s="2">
        <f t="shared" si="3"/>
        <v>5.168719926960625</v>
      </c>
      <c r="R96" s="2">
        <v>0.23249999999999996</v>
      </c>
      <c r="S96" s="2">
        <f t="shared" si="4"/>
        <v>0.54125000000000001</v>
      </c>
      <c r="T96" s="2">
        <v>0.45874999999999999</v>
      </c>
      <c r="U96" s="3">
        <v>7510949042.7500553</v>
      </c>
      <c r="V96" s="3">
        <v>239843153.03310353</v>
      </c>
      <c r="W96" s="2">
        <f t="shared" si="5"/>
        <v>3.1932469740906064E-2</v>
      </c>
      <c r="X96" s="2">
        <v>0.92803247316884174</v>
      </c>
      <c r="Y96" s="2">
        <v>0.88331903018332669</v>
      </c>
      <c r="Z96" s="2">
        <v>0.80789848712557044</v>
      </c>
      <c r="AA96" s="2">
        <v>0.71330189718880133</v>
      </c>
      <c r="AB96" s="2">
        <v>0.68484468778647967</v>
      </c>
      <c r="AC96" s="1" t="s">
        <v>217</v>
      </c>
      <c r="AD96" s="1">
        <v>13.303433468864288</v>
      </c>
      <c r="AE96" s="1">
        <v>1.4478151708244389</v>
      </c>
      <c r="AF96" s="1">
        <v>0.310000000000001</v>
      </c>
      <c r="AG96" s="1">
        <v>0.90166666666666362</v>
      </c>
      <c r="AH96" s="1">
        <v>0.80333333333333368</v>
      </c>
      <c r="AI96" s="1">
        <v>1.3494943361982885</v>
      </c>
      <c r="AJ96" s="1">
        <v>3.9251421284046724</v>
      </c>
      <c r="AK96" s="2">
        <v>3.497076720685877</v>
      </c>
      <c r="AL96" s="2"/>
      <c r="AM96" s="2"/>
    </row>
    <row r="97" spans="1:29" x14ac:dyDescent="0.35">
      <c r="A97" s="1" t="s">
        <v>148</v>
      </c>
      <c r="B97" s="1" t="s">
        <v>93</v>
      </c>
      <c r="C97" s="1" t="s">
        <v>266</v>
      </c>
      <c r="D97" s="1">
        <v>313072.99999999988</v>
      </c>
      <c r="E97" s="1">
        <v>6098841</v>
      </c>
      <c r="F97" s="1">
        <v>6</v>
      </c>
      <c r="G97" s="1" t="s">
        <v>43</v>
      </c>
      <c r="H97" s="1" t="s">
        <v>95</v>
      </c>
      <c r="I97" s="1" t="s">
        <v>43</v>
      </c>
      <c r="J97" s="2">
        <v>6.27</v>
      </c>
      <c r="K97" s="2">
        <v>4.3186983952907987</v>
      </c>
      <c r="L97" s="2">
        <v>0.51010279294709937</v>
      </c>
      <c r="M97" s="2">
        <v>7.5034807621417556</v>
      </c>
      <c r="N97" s="2">
        <v>14.820034425486121</v>
      </c>
      <c r="O97" s="2">
        <v>3.2720344999999998E-2</v>
      </c>
      <c r="P97" s="2">
        <v>0.18875000000000003</v>
      </c>
      <c r="Q97" s="2">
        <f t="shared" si="3"/>
        <v>20.699257274873805</v>
      </c>
      <c r="R97" s="2">
        <v>0.17375000000000004</v>
      </c>
      <c r="S97" s="2">
        <f t="shared" si="4"/>
        <v>0.36250000000000004</v>
      </c>
      <c r="T97" s="2">
        <v>0.63749999999999996</v>
      </c>
      <c r="U97" s="3">
        <v>12052061171.996117</v>
      </c>
      <c r="V97" s="3">
        <v>158912530.29243478</v>
      </c>
      <c r="W97" s="2">
        <f t="shared" si="5"/>
        <v>1.3185506447783402E-2</v>
      </c>
      <c r="X97" s="2">
        <v>0.92803247316884174</v>
      </c>
      <c r="Y97" s="2">
        <v>0.88331903018332669</v>
      </c>
      <c r="Z97" s="2">
        <v>0.80789848712557044</v>
      </c>
      <c r="AA97" s="2">
        <v>0.71330189718880133</v>
      </c>
      <c r="AB97" s="2">
        <v>0.68484468778647967</v>
      </c>
      <c r="AC97" s="1" t="s">
        <v>217</v>
      </c>
    </row>
    <row r="98" spans="1:29" x14ac:dyDescent="0.35">
      <c r="A98" s="1" t="s">
        <v>179</v>
      </c>
      <c r="B98" s="1" t="s">
        <v>48</v>
      </c>
      <c r="C98" s="1" t="s">
        <v>243</v>
      </c>
      <c r="D98" s="1">
        <v>320995.59999999998</v>
      </c>
      <c r="E98" s="1">
        <v>6155792.2999999998</v>
      </c>
      <c r="F98" s="1">
        <v>1</v>
      </c>
      <c r="G98" s="1" t="s">
        <v>225</v>
      </c>
      <c r="H98" s="1" t="s">
        <v>96</v>
      </c>
      <c r="I98" s="1" t="s">
        <v>103</v>
      </c>
      <c r="J98" s="2">
        <v>6.3</v>
      </c>
      <c r="K98" s="2">
        <v>1.1694560078375253</v>
      </c>
      <c r="L98" s="2">
        <v>0.2151724290949609</v>
      </c>
      <c r="M98" s="2">
        <v>2.3906230130857078</v>
      </c>
      <c r="N98" s="2">
        <v>11.122752055767622</v>
      </c>
      <c r="O98" s="2">
        <v>0.11423641999999999</v>
      </c>
      <c r="P98" s="2">
        <v>0.166875</v>
      </c>
      <c r="Q98" s="2">
        <f t="shared" si="3"/>
        <v>5.5757971150687053</v>
      </c>
      <c r="R98" s="2">
        <v>0.26187500000000008</v>
      </c>
      <c r="S98" s="2">
        <f t="shared" si="4"/>
        <v>0.42875000000000008</v>
      </c>
      <c r="T98" s="2">
        <v>0.57124999999999992</v>
      </c>
      <c r="U98" s="3">
        <v>9629963946.2118111</v>
      </c>
      <c r="V98" s="3">
        <v>214232054.09816444</v>
      </c>
      <c r="W98" s="2">
        <f t="shared" si="5"/>
        <v>2.2246402509371595E-2</v>
      </c>
      <c r="X98" s="2">
        <v>0.49707271826460753</v>
      </c>
      <c r="Y98" s="2">
        <v>0.54463814652891485</v>
      </c>
      <c r="Z98" s="2">
        <v>0.34871354144153299</v>
      </c>
      <c r="AA98" s="2">
        <v>0.20725825140187598</v>
      </c>
      <c r="AB98" s="2">
        <v>0.31258178519035434</v>
      </c>
      <c r="AC98" s="1" t="s">
        <v>240</v>
      </c>
    </row>
    <row r="99" spans="1:29" x14ac:dyDescent="0.35">
      <c r="A99" s="1" t="s">
        <v>126</v>
      </c>
      <c r="B99" s="1" t="s">
        <v>47</v>
      </c>
      <c r="C99" s="1" t="s">
        <v>243</v>
      </c>
      <c r="D99" s="1">
        <v>320995.59999999998</v>
      </c>
      <c r="E99" s="1">
        <v>6155792.2999999998</v>
      </c>
      <c r="F99" s="1">
        <v>1</v>
      </c>
      <c r="G99" s="1" t="s">
        <v>225</v>
      </c>
      <c r="H99" s="1" t="s">
        <v>96</v>
      </c>
      <c r="I99" s="1" t="s">
        <v>104</v>
      </c>
      <c r="J99" s="2">
        <v>6.9</v>
      </c>
      <c r="K99" s="2">
        <v>2.0581012911930312</v>
      </c>
      <c r="L99" s="2">
        <v>0.34585264170079877</v>
      </c>
      <c r="M99" s="2">
        <v>3.664412769979521</v>
      </c>
      <c r="N99" s="2">
        <v>10.610645758723111</v>
      </c>
      <c r="O99" s="2">
        <v>0.11540841066666667</v>
      </c>
      <c r="P99" s="2">
        <v>0.15437499999999998</v>
      </c>
      <c r="Q99" s="2">
        <f t="shared" si="3"/>
        <v>7.45936441726111</v>
      </c>
      <c r="R99" s="2">
        <v>0.33687500000000009</v>
      </c>
      <c r="S99" s="2">
        <f t="shared" si="4"/>
        <v>0.49125000000000008</v>
      </c>
      <c r="T99" s="2">
        <v>0.50874999999999992</v>
      </c>
      <c r="U99" s="3">
        <v>6889999251.5542326</v>
      </c>
      <c r="V99" s="3">
        <v>202102646.86598858</v>
      </c>
      <c r="W99" s="2">
        <f t="shared" si="5"/>
        <v>2.9332753094334321E-2</v>
      </c>
      <c r="X99" s="2">
        <v>0.49707271826460753</v>
      </c>
      <c r="Y99" s="2">
        <v>0.54463814652891485</v>
      </c>
      <c r="Z99" s="2">
        <v>0.34871354144153299</v>
      </c>
      <c r="AA99" s="2">
        <v>0.20725825140187598</v>
      </c>
      <c r="AB99" s="2">
        <v>0.31258178519035434</v>
      </c>
      <c r="AC99" s="1" t="s">
        <v>240</v>
      </c>
    </row>
    <row r="100" spans="1:29" x14ac:dyDescent="0.35">
      <c r="A100" s="1" t="s">
        <v>135</v>
      </c>
      <c r="B100" s="1" t="s">
        <v>50</v>
      </c>
      <c r="C100" s="1" t="s">
        <v>244</v>
      </c>
      <c r="D100" s="1">
        <v>321331.00000000012</v>
      </c>
      <c r="E100" s="1">
        <v>6155264</v>
      </c>
      <c r="F100" s="1">
        <v>1</v>
      </c>
      <c r="G100" s="1" t="s">
        <v>225</v>
      </c>
      <c r="H100" s="1" t="s">
        <v>96</v>
      </c>
      <c r="I100" s="1" t="s">
        <v>105</v>
      </c>
      <c r="J100" s="2">
        <v>6.52</v>
      </c>
      <c r="K100" s="2">
        <v>2.6819030522560197</v>
      </c>
      <c r="L100" s="2">
        <v>0.27462205767767295</v>
      </c>
      <c r="M100" s="2">
        <v>3.3032756577968239</v>
      </c>
      <c r="N100" s="2">
        <v>12.00888663727048</v>
      </c>
      <c r="O100" s="2">
        <v>7.1970487666666666E-2</v>
      </c>
      <c r="P100" s="2">
        <v>0.20875000000000005</v>
      </c>
      <c r="Q100" s="2">
        <f t="shared" si="3"/>
        <v>5.0858747618118914</v>
      </c>
      <c r="R100" s="2">
        <v>0.44075000000000003</v>
      </c>
      <c r="S100" s="2">
        <f t="shared" si="4"/>
        <v>0.64950000000000008</v>
      </c>
      <c r="T100" s="2">
        <v>0.35049999999999998</v>
      </c>
      <c r="U100" s="3">
        <v>4929622784.8383904</v>
      </c>
      <c r="V100" s="3">
        <v>88399866.471413836</v>
      </c>
      <c r="W100" s="2">
        <f t="shared" si="5"/>
        <v>1.7932379480088734E-2</v>
      </c>
      <c r="X100" s="2">
        <v>0.26025016294386727</v>
      </c>
      <c r="Y100" s="2">
        <v>0.27363232818160449</v>
      </c>
      <c r="Z100" s="2">
        <v>0.38919906392156089</v>
      </c>
      <c r="AA100" s="2">
        <v>0.43633473564233372</v>
      </c>
      <c r="AB100" s="2">
        <v>0.36792466988972189</v>
      </c>
      <c r="AC100" s="1" t="s">
        <v>241</v>
      </c>
    </row>
    <row r="101" spans="1:29" x14ac:dyDescent="0.35">
      <c r="A101" s="1" t="s">
        <v>180</v>
      </c>
      <c r="B101" s="1" t="s">
        <v>49</v>
      </c>
      <c r="C101" s="1" t="s">
        <v>244</v>
      </c>
      <c r="D101" s="1">
        <v>321331.00000000012</v>
      </c>
      <c r="E101" s="1">
        <v>6155264</v>
      </c>
      <c r="F101" s="1">
        <v>1</v>
      </c>
      <c r="G101" s="1" t="s">
        <v>225</v>
      </c>
      <c r="H101" s="1" t="s">
        <v>96</v>
      </c>
      <c r="I101" s="1" t="s">
        <v>106</v>
      </c>
      <c r="J101" s="2">
        <v>6.5</v>
      </c>
      <c r="K101" s="2">
        <v>1.2207573586963281</v>
      </c>
      <c r="L101" s="2">
        <v>0.14748375286391621</v>
      </c>
      <c r="M101" s="2">
        <v>1.6912764816797707</v>
      </c>
      <c r="N101" s="2">
        <v>11.45890231243092</v>
      </c>
      <c r="O101" s="2">
        <v>7.8502664999999999E-2</v>
      </c>
      <c r="P101" s="2">
        <v>0.24187500000000001</v>
      </c>
      <c r="Q101" s="2">
        <f t="shared" si="3"/>
        <v>2.446692921055726</v>
      </c>
      <c r="R101" s="2">
        <v>0.44937500000000002</v>
      </c>
      <c r="S101" s="2">
        <f t="shared" si="4"/>
        <v>0.69125000000000003</v>
      </c>
      <c r="T101" s="2">
        <v>0.30875000000000002</v>
      </c>
      <c r="U101" s="3">
        <v>13274985184.636707</v>
      </c>
      <c r="V101" s="3">
        <v>151011405.10895833</v>
      </c>
      <c r="W101" s="2">
        <f t="shared" si="5"/>
        <v>1.1375636432628608E-2</v>
      </c>
      <c r="X101" s="2">
        <v>0.26025016294386727</v>
      </c>
      <c r="Y101" s="2">
        <v>0.27363232818160449</v>
      </c>
      <c r="Z101" s="2">
        <v>0.38919906392156089</v>
      </c>
      <c r="AA101" s="2">
        <v>0.43633473564233372</v>
      </c>
      <c r="AB101" s="2">
        <v>0.36792466988972189</v>
      </c>
      <c r="AC101" s="1" t="s">
        <v>241</v>
      </c>
    </row>
    <row r="102" spans="1:29" x14ac:dyDescent="0.35">
      <c r="A102" s="1" t="s">
        <v>139</v>
      </c>
      <c r="B102" s="1" t="s">
        <v>52</v>
      </c>
      <c r="C102" s="1" t="s">
        <v>245</v>
      </c>
      <c r="D102" s="1">
        <v>328312</v>
      </c>
      <c r="E102" s="1">
        <v>6156782</v>
      </c>
      <c r="F102" s="1">
        <v>1</v>
      </c>
      <c r="G102" s="1" t="s">
        <v>225</v>
      </c>
      <c r="H102" s="1" t="s">
        <v>96</v>
      </c>
      <c r="I102" s="1" t="s">
        <v>107</v>
      </c>
      <c r="J102" s="2">
        <v>6.07</v>
      </c>
      <c r="K102" s="2">
        <v>1.6793281495191132</v>
      </c>
      <c r="L102" s="2">
        <v>0.24568047269551888</v>
      </c>
      <c r="M102" s="2">
        <v>2.7552780169753941</v>
      </c>
      <c r="N102" s="2">
        <v>11.206643422367359</v>
      </c>
      <c r="O102" s="2">
        <v>3.9484940000000003E-2</v>
      </c>
      <c r="P102" s="2">
        <v>0.11687500000000001</v>
      </c>
      <c r="Q102" s="2">
        <f t="shared" si="3"/>
        <v>6.6192865272682129</v>
      </c>
      <c r="R102" s="2">
        <v>0.29937500000000006</v>
      </c>
      <c r="S102" s="2">
        <f t="shared" si="4"/>
        <v>0.41625000000000006</v>
      </c>
      <c r="T102" s="2">
        <v>0.58374999999999988</v>
      </c>
      <c r="U102" s="3">
        <v>11209385083.557791</v>
      </c>
      <c r="V102" s="3">
        <v>197733308.18020597</v>
      </c>
      <c r="W102" s="2">
        <f t="shared" si="5"/>
        <v>1.7639978170635444E-2</v>
      </c>
      <c r="X102" s="2">
        <v>0.28963016543863113</v>
      </c>
      <c r="Y102" s="2">
        <v>0.50947355194859378</v>
      </c>
      <c r="Z102" s="2">
        <v>0.58315643879119383</v>
      </c>
      <c r="AA102" s="2">
        <v>0.67081834991939548</v>
      </c>
      <c r="AB102" s="2">
        <v>0.8159957966131427</v>
      </c>
      <c r="AC102" s="1" t="s">
        <v>241</v>
      </c>
    </row>
    <row r="103" spans="1:29" x14ac:dyDescent="0.35">
      <c r="A103" s="1" t="s">
        <v>181</v>
      </c>
      <c r="B103" s="1" t="s">
        <v>51</v>
      </c>
      <c r="C103" s="1" t="s">
        <v>245</v>
      </c>
      <c r="D103" s="1">
        <v>328312</v>
      </c>
      <c r="E103" s="1">
        <v>6156782</v>
      </c>
      <c r="F103" s="1">
        <v>1</v>
      </c>
      <c r="G103" s="1" t="s">
        <v>225</v>
      </c>
      <c r="H103" s="1" t="s">
        <v>96</v>
      </c>
      <c r="I103" s="1" t="s">
        <v>108</v>
      </c>
      <c r="J103" s="2">
        <v>6.12</v>
      </c>
      <c r="K103" s="2">
        <v>1.2450030220449084</v>
      </c>
      <c r="L103" s="2">
        <v>0.18360480177153557</v>
      </c>
      <c r="M103" s="2">
        <v>2.0752096788821768</v>
      </c>
      <c r="N103" s="2">
        <v>11.322326681376351</v>
      </c>
      <c r="O103" s="2">
        <v>3.6219269999999998E-2</v>
      </c>
      <c r="P103" s="2">
        <v>0.13375000000000001</v>
      </c>
      <c r="Q103" s="2">
        <f t="shared" si="3"/>
        <v>5.1398382139496634</v>
      </c>
      <c r="R103" s="2">
        <v>0.27000000000000007</v>
      </c>
      <c r="S103" s="2">
        <f t="shared" si="4"/>
        <v>0.40375000000000005</v>
      </c>
      <c r="T103" s="2">
        <v>0.59624999999999995</v>
      </c>
      <c r="U103" s="3">
        <v>9465194288.6463203</v>
      </c>
      <c r="V103" s="3">
        <v>78102089.258823827</v>
      </c>
      <c r="W103" s="2">
        <f t="shared" si="5"/>
        <v>8.251504076626167E-3</v>
      </c>
      <c r="X103" s="2">
        <v>0.28963016543863113</v>
      </c>
      <c r="Y103" s="2">
        <v>0.50947355194859378</v>
      </c>
      <c r="Z103" s="2">
        <v>0.58315643879119383</v>
      </c>
      <c r="AA103" s="2">
        <v>0.67081834991939548</v>
      </c>
      <c r="AB103" s="2">
        <v>0.8159957966131427</v>
      </c>
      <c r="AC103" s="1" t="s">
        <v>241</v>
      </c>
    </row>
    <row r="104" spans="1:29" x14ac:dyDescent="0.35">
      <c r="A104" s="1" t="s">
        <v>146</v>
      </c>
      <c r="B104" s="1" t="s">
        <v>53</v>
      </c>
      <c r="C104" s="1" t="s">
        <v>261</v>
      </c>
      <c r="D104" s="1">
        <v>328211.7</v>
      </c>
      <c r="E104" s="1">
        <v>6156583.5</v>
      </c>
      <c r="F104" s="1">
        <v>1</v>
      </c>
      <c r="G104" s="1" t="s">
        <v>43</v>
      </c>
      <c r="H104" s="1" t="s">
        <v>96</v>
      </c>
      <c r="I104" s="1" t="s">
        <v>43</v>
      </c>
      <c r="J104" s="2">
        <v>6.43</v>
      </c>
      <c r="K104" s="2">
        <v>2.7738303086152745</v>
      </c>
      <c r="L104" s="2">
        <v>0.43337225390957945</v>
      </c>
      <c r="M104" s="2">
        <v>7.0403127929750298</v>
      </c>
      <c r="N104" s="2">
        <v>16.24450772247209</v>
      </c>
      <c r="O104" s="2">
        <v>2.5721919333333332E-2</v>
      </c>
      <c r="P104" s="2">
        <v>0.10125000000000002</v>
      </c>
      <c r="Q104" s="2">
        <f t="shared" si="3"/>
        <v>30.693461767738544</v>
      </c>
      <c r="R104" s="2">
        <v>0.12812500000000002</v>
      </c>
      <c r="S104" s="2">
        <f t="shared" si="4"/>
        <v>0.22937500000000005</v>
      </c>
      <c r="T104" s="2">
        <v>0.770625</v>
      </c>
      <c r="U104" s="3">
        <v>11483518343.411171</v>
      </c>
      <c r="V104" s="3">
        <v>470546486.00325745</v>
      </c>
      <c r="W104" s="2">
        <f t="shared" si="5"/>
        <v>4.0975811761840404E-2</v>
      </c>
      <c r="X104" s="2">
        <v>0.61376512253958515</v>
      </c>
      <c r="Y104" s="2">
        <v>0.65756015237669185</v>
      </c>
      <c r="Z104" s="2">
        <v>0.68288908606549281</v>
      </c>
      <c r="AA104" s="2">
        <v>0.73568576669513164</v>
      </c>
      <c r="AB104" s="2">
        <v>0.82890746418839312</v>
      </c>
      <c r="AC104" s="1" t="s">
        <v>217</v>
      </c>
    </row>
    <row r="105" spans="1:29" x14ac:dyDescent="0.35">
      <c r="A105" s="1" t="s">
        <v>182</v>
      </c>
      <c r="B105" s="1" t="s">
        <v>54</v>
      </c>
      <c r="C105" s="1" t="s">
        <v>261</v>
      </c>
      <c r="D105" s="1">
        <v>328211.7</v>
      </c>
      <c r="E105" s="1">
        <v>6156583.5</v>
      </c>
      <c r="F105" s="1">
        <v>1</v>
      </c>
      <c r="G105" s="1" t="s">
        <v>43</v>
      </c>
      <c r="H105" s="1" t="s">
        <v>96</v>
      </c>
      <c r="I105" s="1" t="s">
        <v>43</v>
      </c>
      <c r="J105" s="2">
        <v>5.67</v>
      </c>
      <c r="K105" s="2">
        <v>2.4819286772891171</v>
      </c>
      <c r="L105" s="2">
        <v>0.3635128294451877</v>
      </c>
      <c r="M105" s="2">
        <v>5.798489302346244</v>
      </c>
      <c r="N105" s="2">
        <v>15.794658610506888</v>
      </c>
      <c r="O105" s="2">
        <v>2.1469441666666669E-2</v>
      </c>
      <c r="P105" s="2">
        <v>7.6250000000000012E-2</v>
      </c>
      <c r="Q105" s="2">
        <f t="shared" si="3"/>
        <v>44.819240984318789</v>
      </c>
      <c r="R105" s="2">
        <v>5.3125000000000006E-2</v>
      </c>
      <c r="S105" s="2">
        <f t="shared" si="4"/>
        <v>0.12937500000000002</v>
      </c>
      <c r="T105" s="2">
        <v>0.87062499999999998</v>
      </c>
      <c r="U105" s="3">
        <v>9175680910.0559559</v>
      </c>
      <c r="V105" s="3">
        <v>64860339.174355812</v>
      </c>
      <c r="W105" s="2">
        <f t="shared" si="5"/>
        <v>7.068722180963492E-3</v>
      </c>
      <c r="X105" s="2">
        <v>0.61376512253958515</v>
      </c>
      <c r="Y105" s="2">
        <v>0.65756015237669185</v>
      </c>
      <c r="Z105" s="2">
        <v>0.68288908606549281</v>
      </c>
      <c r="AA105" s="2">
        <v>0.73568576669513164</v>
      </c>
      <c r="AB105" s="2">
        <v>0.82890746418839312</v>
      </c>
      <c r="AC105" s="1" t="s">
        <v>217</v>
      </c>
    </row>
    <row r="106" spans="1:29" x14ac:dyDescent="0.35">
      <c r="A106" s="1" t="s">
        <v>142</v>
      </c>
      <c r="B106" s="1" t="s">
        <v>56</v>
      </c>
      <c r="C106" s="1" t="s">
        <v>246</v>
      </c>
      <c r="D106" s="1">
        <v>314903.59999999998</v>
      </c>
      <c r="E106" s="1">
        <v>6129147.5</v>
      </c>
      <c r="F106" s="1">
        <v>2</v>
      </c>
      <c r="G106" s="1" t="s">
        <v>225</v>
      </c>
      <c r="H106" s="1" t="s">
        <v>96</v>
      </c>
      <c r="I106" s="1" t="s">
        <v>103</v>
      </c>
      <c r="J106" s="2">
        <v>6.41</v>
      </c>
      <c r="K106" s="2">
        <v>3.5779150379621831</v>
      </c>
      <c r="L106" s="2">
        <v>0.49937117454462099</v>
      </c>
      <c r="M106" s="2">
        <v>6.3716958789523401</v>
      </c>
      <c r="N106" s="2">
        <v>12.72126295960085</v>
      </c>
      <c r="O106" s="2">
        <v>0.10588892866666666</v>
      </c>
      <c r="P106" s="2">
        <v>0.19187499999999999</v>
      </c>
      <c r="Q106" s="2">
        <f t="shared" si="3"/>
        <v>18.67163627531821</v>
      </c>
      <c r="R106" s="2">
        <v>0.14937500000000006</v>
      </c>
      <c r="S106" s="2">
        <f t="shared" si="4"/>
        <v>0.34125000000000005</v>
      </c>
      <c r="T106" s="2">
        <v>0.65874999999999995</v>
      </c>
      <c r="U106" s="3">
        <v>10002623981.768698</v>
      </c>
      <c r="V106" s="3">
        <v>85860889.572293162</v>
      </c>
      <c r="W106" s="2">
        <f t="shared" si="5"/>
        <v>8.5838365741617087E-3</v>
      </c>
      <c r="X106" s="2">
        <v>0.55592821621999045</v>
      </c>
      <c r="Y106" s="2">
        <v>0.49185376030031985</v>
      </c>
      <c r="Z106" s="2">
        <v>0.40011498835269749</v>
      </c>
      <c r="AA106" s="2">
        <v>0.27827923489731715</v>
      </c>
      <c r="AB106" s="2">
        <v>0.27187198793071909</v>
      </c>
      <c r="AC106" s="1" t="s">
        <v>240</v>
      </c>
    </row>
    <row r="107" spans="1:29" x14ac:dyDescent="0.35">
      <c r="A107" s="1" t="s">
        <v>183</v>
      </c>
      <c r="B107" s="1" t="s">
        <v>55</v>
      </c>
      <c r="C107" s="1" t="s">
        <v>246</v>
      </c>
      <c r="D107" s="1">
        <v>314903.59999999998</v>
      </c>
      <c r="E107" s="1">
        <v>6129147.5</v>
      </c>
      <c r="F107" s="1">
        <v>2</v>
      </c>
      <c r="G107" s="1" t="s">
        <v>225</v>
      </c>
      <c r="H107" s="1" t="s">
        <v>96</v>
      </c>
      <c r="I107" s="1" t="s">
        <v>104</v>
      </c>
      <c r="J107" s="2">
        <v>6.12</v>
      </c>
      <c r="K107" s="2">
        <v>2.3118798292875895</v>
      </c>
      <c r="L107" s="2">
        <v>0.31054674992758896</v>
      </c>
      <c r="M107" s="2">
        <v>3.4363652761195174</v>
      </c>
      <c r="N107" s="2">
        <v>11.066800440271598</v>
      </c>
      <c r="O107" s="2">
        <v>0.11616120100000001</v>
      </c>
      <c r="P107" s="2">
        <v>0.13375000000000001</v>
      </c>
      <c r="Q107" s="2">
        <f t="shared" si="3"/>
        <v>10.069934875075507</v>
      </c>
      <c r="R107" s="2">
        <v>0.20750000000000007</v>
      </c>
      <c r="S107" s="2">
        <f t="shared" si="4"/>
        <v>0.34125000000000005</v>
      </c>
      <c r="T107" s="2">
        <v>0.65874999999999995</v>
      </c>
      <c r="U107" s="3">
        <v>10176749190.187244</v>
      </c>
      <c r="V107" s="3">
        <v>93025069.519417316</v>
      </c>
      <c r="W107" s="2">
        <f t="shared" si="5"/>
        <v>9.1409415502855407E-3</v>
      </c>
      <c r="X107" s="2">
        <v>0.55592821621999045</v>
      </c>
      <c r="Y107" s="2">
        <v>0.49185376030031985</v>
      </c>
      <c r="Z107" s="2">
        <v>0.40011498835269749</v>
      </c>
      <c r="AA107" s="2">
        <v>0.27827923489731715</v>
      </c>
      <c r="AB107" s="2">
        <v>0.27187198793071909</v>
      </c>
      <c r="AC107" s="1" t="s">
        <v>240</v>
      </c>
    </row>
    <row r="108" spans="1:29" x14ac:dyDescent="0.35">
      <c r="A108" s="1" t="s">
        <v>143</v>
      </c>
      <c r="B108" s="1" t="s">
        <v>58</v>
      </c>
      <c r="C108" s="1" t="s">
        <v>247</v>
      </c>
      <c r="D108" s="1">
        <v>311324</v>
      </c>
      <c r="E108" s="1">
        <v>6124637</v>
      </c>
      <c r="F108" s="1">
        <v>2</v>
      </c>
      <c r="G108" s="1" t="s">
        <v>225</v>
      </c>
      <c r="H108" s="1" t="s">
        <v>96</v>
      </c>
      <c r="I108" s="1" t="s">
        <v>105</v>
      </c>
      <c r="J108" s="2">
        <v>6.52</v>
      </c>
      <c r="K108" s="2">
        <v>3.1277349362021787</v>
      </c>
      <c r="L108" s="2">
        <v>0.55317299733959091</v>
      </c>
      <c r="M108" s="2">
        <v>6.4598980746556824</v>
      </c>
      <c r="N108" s="2">
        <v>11.683126439560278</v>
      </c>
      <c r="O108" s="2">
        <v>0.10447657366666667</v>
      </c>
      <c r="P108" s="2">
        <v>0.14625000000000002</v>
      </c>
      <c r="Q108" s="2">
        <f t="shared" si="3"/>
        <v>14.100732495837779</v>
      </c>
      <c r="R108" s="2">
        <v>0.31187500000000001</v>
      </c>
      <c r="S108" s="2">
        <f t="shared" si="4"/>
        <v>0.458125</v>
      </c>
      <c r="T108" s="2">
        <v>0.541875</v>
      </c>
      <c r="U108" s="3">
        <v>7992401211.4844284</v>
      </c>
      <c r="V108" s="3">
        <v>149370097.35773993</v>
      </c>
      <c r="W108" s="2">
        <f t="shared" si="5"/>
        <v>1.8689013902743933E-2</v>
      </c>
      <c r="X108" s="2">
        <v>0.31337608294794195</v>
      </c>
      <c r="Y108" s="2">
        <v>0.25145027478255194</v>
      </c>
      <c r="Z108" s="2">
        <v>0.45285291789002369</v>
      </c>
      <c r="AA108" s="2">
        <v>0.41435543800134295</v>
      </c>
      <c r="AB108" s="2">
        <v>0.41958575326236969</v>
      </c>
      <c r="AC108" s="1" t="s">
        <v>241</v>
      </c>
    </row>
    <row r="109" spans="1:29" x14ac:dyDescent="0.35">
      <c r="A109" s="1" t="s">
        <v>184</v>
      </c>
      <c r="B109" s="1" t="s">
        <v>57</v>
      </c>
      <c r="C109" s="1" t="s">
        <v>247</v>
      </c>
      <c r="D109" s="1">
        <v>311324</v>
      </c>
      <c r="E109" s="1">
        <v>6124637</v>
      </c>
      <c r="F109" s="1">
        <v>2</v>
      </c>
      <c r="G109" s="1" t="s">
        <v>225</v>
      </c>
      <c r="H109" s="1" t="s">
        <v>96</v>
      </c>
      <c r="I109" s="1" t="s">
        <v>106</v>
      </c>
      <c r="J109" s="2">
        <v>6.12</v>
      </c>
      <c r="K109" s="2">
        <v>1.6366103224724906</v>
      </c>
      <c r="L109" s="2">
        <v>0.27306883622086603</v>
      </c>
      <c r="M109" s="2">
        <v>2.8622907317243782</v>
      </c>
      <c r="N109" s="2">
        <v>10.48131774770877</v>
      </c>
      <c r="O109" s="2">
        <v>0.12894282333333332</v>
      </c>
      <c r="P109" s="2">
        <v>0.18375000000000002</v>
      </c>
      <c r="Q109" s="2">
        <f t="shared" si="3"/>
        <v>5.2041649667715966</v>
      </c>
      <c r="R109" s="2">
        <v>0.36625000000000002</v>
      </c>
      <c r="S109" s="2">
        <f t="shared" si="4"/>
        <v>0.55000000000000004</v>
      </c>
      <c r="T109" s="2">
        <v>0.44999999999999996</v>
      </c>
      <c r="U109" s="3">
        <v>12561735218.729074</v>
      </c>
      <c r="V109" s="3">
        <v>126786320.09469682</v>
      </c>
      <c r="W109" s="2">
        <f t="shared" si="5"/>
        <v>1.0093057836919153E-2</v>
      </c>
      <c r="X109" s="2">
        <v>0.31337608294794195</v>
      </c>
      <c r="Y109" s="2">
        <v>0.25145027478255194</v>
      </c>
      <c r="Z109" s="2">
        <v>0.45285291789002369</v>
      </c>
      <c r="AA109" s="2">
        <v>0.41435543800134295</v>
      </c>
      <c r="AB109" s="2">
        <v>0.41958575326236969</v>
      </c>
      <c r="AC109" s="1" t="s">
        <v>241</v>
      </c>
    </row>
    <row r="110" spans="1:29" x14ac:dyDescent="0.35">
      <c r="A110" s="1" t="s">
        <v>185</v>
      </c>
      <c r="B110" s="1" t="s">
        <v>60</v>
      </c>
      <c r="C110" s="1" t="s">
        <v>248</v>
      </c>
      <c r="D110" s="1">
        <v>323050</v>
      </c>
      <c r="E110" s="1">
        <v>6124499</v>
      </c>
      <c r="F110" s="1">
        <v>2</v>
      </c>
      <c r="G110" s="1" t="s">
        <v>225</v>
      </c>
      <c r="H110" s="1" t="s">
        <v>96</v>
      </c>
      <c r="I110" s="1" t="s">
        <v>107</v>
      </c>
      <c r="J110" s="2">
        <v>6.3</v>
      </c>
      <c r="K110" s="2">
        <v>2.8523955821821816</v>
      </c>
      <c r="L110" s="2">
        <v>0.32700951228630798</v>
      </c>
      <c r="M110" s="2">
        <v>4.1100458725877829</v>
      </c>
      <c r="N110" s="2">
        <v>12.563343272432425</v>
      </c>
      <c r="O110" s="2">
        <v>9.430051099999999E-2</v>
      </c>
      <c r="P110" s="2">
        <v>0.18375000000000002</v>
      </c>
      <c r="Q110" s="2">
        <f t="shared" si="3"/>
        <v>7.2027090866817671</v>
      </c>
      <c r="R110" s="2">
        <v>0.38687499999999986</v>
      </c>
      <c r="S110" s="2">
        <f t="shared" si="4"/>
        <v>0.57062499999999994</v>
      </c>
      <c r="T110" s="2">
        <v>0.42937500000000006</v>
      </c>
      <c r="U110" s="3">
        <v>11927907167.510267</v>
      </c>
      <c r="V110" s="3">
        <v>122697056.29720128</v>
      </c>
      <c r="W110" s="2">
        <f t="shared" si="5"/>
        <v>1.0286553590172855E-2</v>
      </c>
      <c r="X110" s="2">
        <v>0.38477299041896618</v>
      </c>
      <c r="Y110" s="2">
        <v>0.60726670652862591</v>
      </c>
      <c r="Z110" s="2">
        <v>0.66616978671903515</v>
      </c>
      <c r="AA110" s="2">
        <v>0.80027370739079839</v>
      </c>
      <c r="AB110" s="2">
        <v>0.85934985775928396</v>
      </c>
      <c r="AC110" s="1" t="s">
        <v>241</v>
      </c>
    </row>
    <row r="111" spans="1:29" x14ac:dyDescent="0.35">
      <c r="A111" s="1" t="s">
        <v>186</v>
      </c>
      <c r="B111" s="1" t="s">
        <v>59</v>
      </c>
      <c r="C111" s="1" t="s">
        <v>248</v>
      </c>
      <c r="D111" s="1">
        <v>323050</v>
      </c>
      <c r="E111" s="1">
        <v>6124499</v>
      </c>
      <c r="F111" s="1">
        <v>2</v>
      </c>
      <c r="G111" s="1" t="s">
        <v>225</v>
      </c>
      <c r="H111" s="1" t="s">
        <v>96</v>
      </c>
      <c r="I111" s="1" t="s">
        <v>108</v>
      </c>
      <c r="J111" s="2">
        <v>6.65</v>
      </c>
      <c r="K111" s="2">
        <v>2.2702610931494651</v>
      </c>
      <c r="L111" s="2">
        <v>0.26005651269584951</v>
      </c>
      <c r="M111" s="2">
        <v>3.0164446108619938</v>
      </c>
      <c r="N111" s="2">
        <v>11.563724894405292</v>
      </c>
      <c r="O111" s="2">
        <v>8.6231197666666662E-2</v>
      </c>
      <c r="P111" s="2">
        <v>0.17937500000000001</v>
      </c>
      <c r="Q111" s="2">
        <f t="shared" si="3"/>
        <v>5.8429919822992602</v>
      </c>
      <c r="R111" s="2">
        <v>0.33687500000000009</v>
      </c>
      <c r="S111" s="2">
        <f t="shared" si="4"/>
        <v>0.5162500000000001</v>
      </c>
      <c r="T111" s="2">
        <v>0.4837499999999999</v>
      </c>
      <c r="U111" s="3">
        <v>6105950476.7436047</v>
      </c>
      <c r="V111" s="3">
        <v>28577410.901067927</v>
      </c>
      <c r="W111" s="2">
        <f t="shared" si="5"/>
        <v>4.6802559257422428E-3</v>
      </c>
      <c r="X111" s="2">
        <v>0.38477299041896618</v>
      </c>
      <c r="Y111" s="2">
        <v>0.60726670652862591</v>
      </c>
      <c r="Z111" s="2">
        <v>0.66616978671903515</v>
      </c>
      <c r="AA111" s="2">
        <v>0.80027370739079839</v>
      </c>
      <c r="AB111" s="2">
        <v>0.85934985775928396</v>
      </c>
      <c r="AC111" s="1" t="s">
        <v>241</v>
      </c>
    </row>
    <row r="112" spans="1:29" x14ac:dyDescent="0.35">
      <c r="A112" s="1" t="s">
        <v>187</v>
      </c>
      <c r="B112" s="1" t="s">
        <v>98</v>
      </c>
      <c r="C112" s="1" t="s">
        <v>262</v>
      </c>
      <c r="D112" s="1">
        <v>323150</v>
      </c>
      <c r="E112" s="1">
        <v>6124539</v>
      </c>
      <c r="F112" s="1">
        <v>2</v>
      </c>
      <c r="G112" s="1" t="s">
        <v>43</v>
      </c>
      <c r="H112" s="1" t="s">
        <v>96</v>
      </c>
      <c r="I112" s="1" t="s">
        <v>43</v>
      </c>
      <c r="J112" s="2">
        <v>6.48</v>
      </c>
      <c r="K112" s="2">
        <v>2.4092054870555693</v>
      </c>
      <c r="L112" s="2">
        <v>0.34027456303101683</v>
      </c>
      <c r="M112" s="2">
        <v>4.0351768674327291</v>
      </c>
      <c r="N112" s="2">
        <v>11.850456835911913</v>
      </c>
      <c r="O112" s="2">
        <v>8.5350443333333345E-2</v>
      </c>
      <c r="P112" s="2">
        <v>0.17624999999999999</v>
      </c>
      <c r="Q112" s="2">
        <f t="shared" si="3"/>
        <v>11.529076764093512</v>
      </c>
      <c r="R112" s="2">
        <v>0.17374999999999999</v>
      </c>
      <c r="S112" s="2">
        <f t="shared" si="4"/>
        <v>0.35</v>
      </c>
      <c r="T112" s="2">
        <v>0.65</v>
      </c>
      <c r="U112" s="3">
        <v>5050180117.2684603</v>
      </c>
      <c r="V112" s="3">
        <v>141427297.18630251</v>
      </c>
      <c r="W112" s="2">
        <f t="shared" si="5"/>
        <v>2.8004406556255197E-2</v>
      </c>
      <c r="X112" s="2">
        <v>0.84937810029282701</v>
      </c>
      <c r="Y112" s="2">
        <v>0.77656516710156298</v>
      </c>
      <c r="Z112" s="2">
        <v>0.73903606228102603</v>
      </c>
      <c r="AA112" s="2">
        <v>0.82561945038806894</v>
      </c>
      <c r="AB112" s="2">
        <v>0.86005905218570144</v>
      </c>
      <c r="AC112" s="1" t="s">
        <v>217</v>
      </c>
    </row>
    <row r="113" spans="1:29" x14ac:dyDescent="0.35">
      <c r="A113" s="1" t="s">
        <v>188</v>
      </c>
      <c r="B113" s="1" t="s">
        <v>61</v>
      </c>
      <c r="C113" s="1" t="s">
        <v>262</v>
      </c>
      <c r="D113" s="1">
        <v>323150</v>
      </c>
      <c r="E113" s="1">
        <v>6124539</v>
      </c>
      <c r="F113" s="1">
        <v>2</v>
      </c>
      <c r="G113" s="1" t="s">
        <v>43</v>
      </c>
      <c r="H113" s="1" t="s">
        <v>96</v>
      </c>
      <c r="I113" s="1" t="s">
        <v>43</v>
      </c>
      <c r="J113" s="2">
        <v>6.77</v>
      </c>
      <c r="K113" s="2">
        <v>2.2875712295738895</v>
      </c>
      <c r="L113" s="2">
        <v>0.18926891390650832</v>
      </c>
      <c r="M113" s="2">
        <v>2.8695643983738588</v>
      </c>
      <c r="N113" s="2">
        <v>15.106285330410548</v>
      </c>
      <c r="O113" s="2">
        <v>4.9992548333333331E-2</v>
      </c>
      <c r="P113" s="2">
        <v>0.15125000000000002</v>
      </c>
      <c r="Q113" s="2">
        <f t="shared" si="3"/>
        <v>8.1987554239253093</v>
      </c>
      <c r="R113" s="2">
        <v>0.19875000000000001</v>
      </c>
      <c r="S113" s="2">
        <f t="shared" si="4"/>
        <v>0.35000000000000003</v>
      </c>
      <c r="T113" s="2">
        <v>0.65</v>
      </c>
      <c r="U113" s="3">
        <v>10717523780.094231</v>
      </c>
      <c r="V113" s="3">
        <v>114909950.22732493</v>
      </c>
      <c r="W113" s="2">
        <f t="shared" si="5"/>
        <v>1.0721688384843931E-2</v>
      </c>
      <c r="X113" s="2">
        <v>0.84937810029282701</v>
      </c>
      <c r="Y113" s="2">
        <v>0.77656516710156298</v>
      </c>
      <c r="Z113" s="2">
        <v>0.73903606228102603</v>
      </c>
      <c r="AA113" s="2">
        <v>0.82561945038806894</v>
      </c>
      <c r="AB113" s="2">
        <v>0.86005905218570144</v>
      </c>
      <c r="AC113" s="1" t="s">
        <v>217</v>
      </c>
    </row>
    <row r="114" spans="1:29" x14ac:dyDescent="0.35">
      <c r="A114" s="1" t="s">
        <v>189</v>
      </c>
      <c r="B114" s="1" t="s">
        <v>63</v>
      </c>
      <c r="C114" s="1" t="s">
        <v>249</v>
      </c>
      <c r="D114" s="1">
        <v>303660</v>
      </c>
      <c r="E114" s="1">
        <v>6110061</v>
      </c>
      <c r="F114" s="1">
        <v>3</v>
      </c>
      <c r="G114" s="1" t="s">
        <v>225</v>
      </c>
      <c r="H114" s="1" t="s">
        <v>96</v>
      </c>
      <c r="I114" s="1" t="s">
        <v>103</v>
      </c>
      <c r="J114" s="2">
        <v>6.61</v>
      </c>
      <c r="K114" s="2">
        <v>2.2442241904186129</v>
      </c>
      <c r="L114" s="2">
        <v>0.31919510063464895</v>
      </c>
      <c r="M114" s="2">
        <v>3.436826824715757</v>
      </c>
      <c r="N114" s="2">
        <v>10.768204446267703</v>
      </c>
      <c r="O114" s="2">
        <v>6.9814243999999984E-2</v>
      </c>
      <c r="P114" s="2">
        <v>0.20437500000000003</v>
      </c>
      <c r="Q114" s="2">
        <f t="shared" si="3"/>
        <v>6.3497955191053244</v>
      </c>
      <c r="R114" s="2">
        <v>0.33687499999999998</v>
      </c>
      <c r="S114" s="2">
        <f t="shared" si="4"/>
        <v>0.54125000000000001</v>
      </c>
      <c r="T114" s="2">
        <v>0.45874999999999999</v>
      </c>
      <c r="U114" s="3">
        <v>7131968741.7266798</v>
      </c>
      <c r="V114" s="3">
        <v>136865815.11213526</v>
      </c>
      <c r="W114" s="2">
        <f t="shared" si="5"/>
        <v>1.9190467606984979E-2</v>
      </c>
      <c r="X114" s="2">
        <v>9.6989022320201013E-2</v>
      </c>
      <c r="Y114" s="2">
        <v>0.16028517746392404</v>
      </c>
      <c r="Z114" s="2">
        <v>0.2488404443862938</v>
      </c>
      <c r="AA114" s="2">
        <v>0.22014852855277478</v>
      </c>
      <c r="AB114" s="2">
        <v>0.37737261660747473</v>
      </c>
      <c r="AC114" s="1" t="s">
        <v>240</v>
      </c>
    </row>
    <row r="115" spans="1:29" x14ac:dyDescent="0.35">
      <c r="A115" s="1" t="s">
        <v>190</v>
      </c>
      <c r="B115" s="1" t="s">
        <v>62</v>
      </c>
      <c r="C115" s="1" t="s">
        <v>249</v>
      </c>
      <c r="D115" s="1">
        <v>303660</v>
      </c>
      <c r="E115" s="1">
        <v>6110061</v>
      </c>
      <c r="F115" s="1">
        <v>3</v>
      </c>
      <c r="G115" s="1" t="s">
        <v>225</v>
      </c>
      <c r="H115" s="1" t="s">
        <v>96</v>
      </c>
      <c r="I115" s="1" t="s">
        <v>104</v>
      </c>
      <c r="J115" s="2">
        <v>6.51</v>
      </c>
      <c r="K115" s="2">
        <v>1.8667083413541263</v>
      </c>
      <c r="L115" s="2">
        <v>0.23109045220705215</v>
      </c>
      <c r="M115" s="2">
        <v>2.6224352796708836</v>
      </c>
      <c r="N115" s="2">
        <v>11.356751717632008</v>
      </c>
      <c r="O115" s="2">
        <v>8.1172587666666671E-2</v>
      </c>
      <c r="P115" s="2">
        <v>0.20875000000000005</v>
      </c>
      <c r="Q115" s="2">
        <f t="shared" si="3"/>
        <v>5.6701303344235319</v>
      </c>
      <c r="R115" s="2">
        <v>0.25374999999999998</v>
      </c>
      <c r="S115" s="2">
        <f t="shared" si="4"/>
        <v>0.46250000000000002</v>
      </c>
      <c r="T115" s="2">
        <v>0.53749999999999998</v>
      </c>
      <c r="U115" s="3">
        <v>4632668525.6612606</v>
      </c>
      <c r="V115" s="3">
        <v>42974420.922492653</v>
      </c>
      <c r="W115" s="2">
        <f t="shared" si="5"/>
        <v>9.2763858852514258E-3</v>
      </c>
      <c r="X115" s="2">
        <v>9.6989022320201013E-2</v>
      </c>
      <c r="Y115" s="2">
        <v>0.16028517746392404</v>
      </c>
      <c r="Z115" s="2">
        <v>0.2488404443862938</v>
      </c>
      <c r="AA115" s="2">
        <v>0.22014852855277478</v>
      </c>
      <c r="AB115" s="2">
        <v>0.37737261660747473</v>
      </c>
      <c r="AC115" s="1" t="s">
        <v>240</v>
      </c>
    </row>
    <row r="116" spans="1:29" x14ac:dyDescent="0.35">
      <c r="A116" s="1" t="s">
        <v>141</v>
      </c>
      <c r="B116" s="1" t="s">
        <v>65</v>
      </c>
      <c r="C116" s="1" t="s">
        <v>250</v>
      </c>
      <c r="D116" s="1">
        <v>305744</v>
      </c>
      <c r="E116" s="1">
        <v>6115148</v>
      </c>
      <c r="F116" s="1">
        <v>3</v>
      </c>
      <c r="G116" s="1" t="s">
        <v>225</v>
      </c>
      <c r="H116" s="1" t="s">
        <v>96</v>
      </c>
      <c r="I116" s="1" t="s">
        <v>105</v>
      </c>
      <c r="J116" s="2">
        <v>5.81</v>
      </c>
      <c r="K116" s="2">
        <v>2.9832025249304182</v>
      </c>
      <c r="L116" s="2">
        <v>0.51925419657979643</v>
      </c>
      <c r="M116" s="2">
        <v>5.598735687905438</v>
      </c>
      <c r="N116" s="2">
        <v>10.795996055015218</v>
      </c>
      <c r="O116" s="2">
        <v>0.10506314793333334</v>
      </c>
      <c r="P116" s="2">
        <v>0.12125000000000002</v>
      </c>
      <c r="Q116" s="2">
        <f t="shared" si="3"/>
        <v>13.173495736248087</v>
      </c>
      <c r="R116" s="2">
        <v>0.30375000000000002</v>
      </c>
      <c r="S116" s="2">
        <f t="shared" si="4"/>
        <v>0.42500000000000004</v>
      </c>
      <c r="T116" s="2">
        <v>0.57499999999999996</v>
      </c>
      <c r="U116" s="3">
        <v>5263749041.319335</v>
      </c>
      <c r="V116" s="3">
        <v>63922110.09188053</v>
      </c>
      <c r="W116" s="2">
        <f t="shared" si="5"/>
        <v>1.2143836947792393E-2</v>
      </c>
      <c r="X116" s="2">
        <v>0.1724284653457594</v>
      </c>
      <c r="Y116" s="2">
        <v>0.22758520751664488</v>
      </c>
      <c r="Z116" s="2">
        <v>0.27100817002074939</v>
      </c>
      <c r="AA116" s="2">
        <v>0.36648449590827648</v>
      </c>
      <c r="AB116" s="2">
        <v>0.33946333519127536</v>
      </c>
      <c r="AC116" s="1" t="s">
        <v>240</v>
      </c>
    </row>
    <row r="117" spans="1:29" x14ac:dyDescent="0.35">
      <c r="A117" s="1" t="s">
        <v>191</v>
      </c>
      <c r="B117" s="1" t="s">
        <v>64</v>
      </c>
      <c r="C117" s="1" t="s">
        <v>250</v>
      </c>
      <c r="D117" s="1">
        <v>305744</v>
      </c>
      <c r="E117" s="1">
        <v>6115148</v>
      </c>
      <c r="F117" s="1">
        <v>3</v>
      </c>
      <c r="G117" s="1" t="s">
        <v>225</v>
      </c>
      <c r="H117" s="1" t="s">
        <v>96</v>
      </c>
      <c r="I117" s="1" t="s">
        <v>106</v>
      </c>
      <c r="J117" s="2">
        <v>6.37</v>
      </c>
      <c r="K117" s="2">
        <v>2.7320185874481644</v>
      </c>
      <c r="L117" s="2">
        <v>0.50175676601457786</v>
      </c>
      <c r="M117" s="2">
        <v>5.441484168515335</v>
      </c>
      <c r="N117" s="2">
        <v>10.837440774580841</v>
      </c>
      <c r="O117" s="2">
        <v>0.127636791</v>
      </c>
      <c r="P117" s="2">
        <v>0.141875</v>
      </c>
      <c r="Q117" s="2">
        <f t="shared" si="3"/>
        <v>13.072634639075876</v>
      </c>
      <c r="R117" s="2">
        <v>0.27437500000000009</v>
      </c>
      <c r="S117" s="2">
        <f t="shared" si="4"/>
        <v>0.41625000000000012</v>
      </c>
      <c r="T117" s="2">
        <v>0.58374999999999988</v>
      </c>
      <c r="U117" s="3">
        <v>8047765778.6068039</v>
      </c>
      <c r="V117" s="3">
        <v>27857919.703330506</v>
      </c>
      <c r="W117" s="2">
        <f t="shared" si="5"/>
        <v>3.4615718784192988E-3</v>
      </c>
      <c r="X117" s="2">
        <v>0.1724284653457594</v>
      </c>
      <c r="Y117" s="2">
        <v>0.22758520751664488</v>
      </c>
      <c r="Z117" s="2">
        <v>0.27100817002074939</v>
      </c>
      <c r="AA117" s="2">
        <v>0.36648449590827648</v>
      </c>
      <c r="AB117" s="2">
        <v>0.33946333519127536</v>
      </c>
      <c r="AC117" s="1" t="s">
        <v>240</v>
      </c>
    </row>
    <row r="118" spans="1:29" x14ac:dyDescent="0.35">
      <c r="A118" s="1" t="s">
        <v>192</v>
      </c>
      <c r="B118" s="1" t="s">
        <v>67</v>
      </c>
      <c r="C118" s="1" t="s">
        <v>251</v>
      </c>
      <c r="D118" s="1">
        <v>313940.99999999988</v>
      </c>
      <c r="E118" s="1">
        <v>6115867.0999999996</v>
      </c>
      <c r="F118" s="1">
        <v>3</v>
      </c>
      <c r="G118" s="1" t="s">
        <v>225</v>
      </c>
      <c r="H118" s="1" t="s">
        <v>96</v>
      </c>
      <c r="I118" s="1" t="s">
        <v>107</v>
      </c>
      <c r="J118" s="2">
        <v>6.3</v>
      </c>
      <c r="K118" s="2">
        <v>1.8620486451974232</v>
      </c>
      <c r="L118" s="2">
        <v>0.21520864373190651</v>
      </c>
      <c r="M118" s="2">
        <v>3.0365164690761355</v>
      </c>
      <c r="N118" s="2">
        <v>14.094349485997204</v>
      </c>
      <c r="O118" s="2">
        <v>4.7456046666666668E-2</v>
      </c>
      <c r="P118" s="2">
        <v>0.17937500000000001</v>
      </c>
      <c r="Q118" s="2">
        <f t="shared" si="3"/>
        <v>7.7610644577025809</v>
      </c>
      <c r="R118" s="2">
        <v>0.21187500000000006</v>
      </c>
      <c r="S118" s="2">
        <f t="shared" si="4"/>
        <v>0.3912500000000001</v>
      </c>
      <c r="T118" s="2">
        <v>0.6087499999999999</v>
      </c>
      <c r="U118" s="3">
        <v>6587670088.3155298</v>
      </c>
      <c r="V118" s="3">
        <v>61188071.406702682</v>
      </c>
      <c r="W118" s="2">
        <f t="shared" si="5"/>
        <v>9.288271966629175E-3</v>
      </c>
      <c r="X118" s="2">
        <v>0.17112339481240588</v>
      </c>
      <c r="Y118" s="2">
        <v>0.31212472784450168</v>
      </c>
      <c r="Z118" s="2">
        <v>0.60044391109857309</v>
      </c>
      <c r="AA118" s="2">
        <v>0.72197202186867537</v>
      </c>
      <c r="AB118" s="2">
        <v>0.80708938413855669</v>
      </c>
      <c r="AC118" s="1" t="s">
        <v>241</v>
      </c>
    </row>
    <row r="119" spans="1:29" x14ac:dyDescent="0.35">
      <c r="A119" s="1" t="s">
        <v>140</v>
      </c>
      <c r="B119" s="1" t="s">
        <v>66</v>
      </c>
      <c r="C119" s="1" t="s">
        <v>251</v>
      </c>
      <c r="D119" s="1">
        <v>313940.99999999988</v>
      </c>
      <c r="E119" s="1">
        <v>6115867.0999999996</v>
      </c>
      <c r="F119" s="1">
        <v>3</v>
      </c>
      <c r="G119" s="1" t="s">
        <v>225</v>
      </c>
      <c r="H119" s="1" t="s">
        <v>96</v>
      </c>
      <c r="I119" s="1" t="s">
        <v>108</v>
      </c>
      <c r="J119" s="2">
        <v>6.22</v>
      </c>
      <c r="K119" s="2">
        <v>1.3690551842421117</v>
      </c>
      <c r="L119" s="2">
        <v>0.14528916819165841</v>
      </c>
      <c r="M119" s="2">
        <v>1.7827510650299931</v>
      </c>
      <c r="N119" s="2">
        <v>12.283372876249279</v>
      </c>
      <c r="O119" s="2">
        <v>4.7597579333333334E-2</v>
      </c>
      <c r="P119" s="2">
        <v>0.22125000000000003</v>
      </c>
      <c r="Q119" s="2">
        <f t="shared" si="3"/>
        <v>2.9712517750499887</v>
      </c>
      <c r="R119" s="2">
        <v>0.37874999999999998</v>
      </c>
      <c r="S119" s="2">
        <f t="shared" si="4"/>
        <v>0.6</v>
      </c>
      <c r="T119" s="2">
        <v>0.4</v>
      </c>
      <c r="U119" s="3">
        <v>6842599533.8525028</v>
      </c>
      <c r="V119" s="3">
        <v>11083975.515406473</v>
      </c>
      <c r="W119" s="2">
        <f t="shared" si="5"/>
        <v>1.6198486350940957E-3</v>
      </c>
      <c r="X119" s="2">
        <v>0.17112339481240588</v>
      </c>
      <c r="Y119" s="2">
        <v>0.31212472784450168</v>
      </c>
      <c r="Z119" s="2">
        <v>0.60044391109857309</v>
      </c>
      <c r="AA119" s="2">
        <v>0.72197202186867537</v>
      </c>
      <c r="AB119" s="2">
        <v>0.80708938413855669</v>
      </c>
      <c r="AC119" s="1" t="s">
        <v>241</v>
      </c>
    </row>
    <row r="120" spans="1:29" x14ac:dyDescent="0.35">
      <c r="A120" s="1" t="s">
        <v>193</v>
      </c>
      <c r="B120" s="1" t="s">
        <v>68</v>
      </c>
      <c r="C120" s="1" t="s">
        <v>263</v>
      </c>
      <c r="D120" s="1">
        <v>314062</v>
      </c>
      <c r="E120" s="1">
        <v>6115765.0000000009</v>
      </c>
      <c r="F120" s="1">
        <v>3</v>
      </c>
      <c r="G120" s="1" t="s">
        <v>43</v>
      </c>
      <c r="H120" s="1" t="s">
        <v>96</v>
      </c>
      <c r="I120" s="1" t="s">
        <v>43</v>
      </c>
      <c r="J120" s="2">
        <v>6.13</v>
      </c>
      <c r="K120" s="2">
        <v>3.561967930973001</v>
      </c>
      <c r="L120" s="2">
        <v>0.32738027957136273</v>
      </c>
      <c r="M120" s="2">
        <v>5.1997621012815145</v>
      </c>
      <c r="N120" s="2">
        <v>15.819101080622623</v>
      </c>
      <c r="O120" s="2">
        <v>7.0972389333333344E-2</v>
      </c>
      <c r="P120" s="2">
        <v>0.17125000000000001</v>
      </c>
      <c r="Q120" s="2">
        <f t="shared" si="3"/>
        <v>13.290126776438372</v>
      </c>
      <c r="R120" s="2">
        <v>0.22000000000000008</v>
      </c>
      <c r="S120" s="2">
        <f t="shared" si="4"/>
        <v>0.3912500000000001</v>
      </c>
      <c r="T120" s="2">
        <v>0.6087499999999999</v>
      </c>
      <c r="U120" s="3">
        <v>12605168647.109966</v>
      </c>
      <c r="V120" s="3">
        <v>253313156.87910694</v>
      </c>
      <c r="W120" s="2">
        <f t="shared" si="5"/>
        <v>2.0095975228160472E-2</v>
      </c>
      <c r="X120" s="2">
        <v>0.84940993128144537</v>
      </c>
      <c r="Y120" s="2">
        <v>0.61241028361890704</v>
      </c>
      <c r="Z120" s="2">
        <v>0.64829080678959772</v>
      </c>
      <c r="AA120" s="2">
        <v>0.73396339190099114</v>
      </c>
      <c r="AB120" s="2">
        <v>0.80703213928862538</v>
      </c>
      <c r="AC120" s="1" t="s">
        <v>217</v>
      </c>
    </row>
    <row r="121" spans="1:29" x14ac:dyDescent="0.35">
      <c r="A121" s="1" t="s">
        <v>194</v>
      </c>
      <c r="B121" s="1" t="s">
        <v>69</v>
      </c>
      <c r="C121" s="1" t="s">
        <v>263</v>
      </c>
      <c r="D121" s="1">
        <v>314062</v>
      </c>
      <c r="E121" s="1">
        <v>6115765.0000000009</v>
      </c>
      <c r="F121" s="1">
        <v>3</v>
      </c>
      <c r="G121" s="1" t="s">
        <v>43</v>
      </c>
      <c r="H121" s="1" t="s">
        <v>96</v>
      </c>
      <c r="I121" s="1" t="s">
        <v>43</v>
      </c>
      <c r="J121" s="2">
        <v>5.9</v>
      </c>
      <c r="K121" s="2">
        <v>5.0097831208932737</v>
      </c>
      <c r="L121" s="2">
        <v>0.53677622227659716</v>
      </c>
      <c r="M121" s="2">
        <v>8.3164434398215494</v>
      </c>
      <c r="N121" s="2">
        <v>15.372680554238011</v>
      </c>
      <c r="O121" s="2">
        <v>5.4474823666666665E-2</v>
      </c>
      <c r="P121" s="2">
        <v>0.22625000000000001</v>
      </c>
      <c r="Q121" s="2">
        <f t="shared" si="3"/>
        <v>15.001476328877656</v>
      </c>
      <c r="R121" s="2">
        <v>0.32812499999999994</v>
      </c>
      <c r="S121" s="2">
        <f t="shared" si="4"/>
        <v>0.55437499999999995</v>
      </c>
      <c r="T121" s="2">
        <v>0.44562500000000005</v>
      </c>
      <c r="U121" s="3">
        <v>1578102577.9882517</v>
      </c>
      <c r="V121" s="3">
        <v>421834105.44327325</v>
      </c>
      <c r="W121" s="2">
        <f t="shared" si="5"/>
        <v>0.2673046171567775</v>
      </c>
      <c r="X121" s="2">
        <v>0.84940993128144537</v>
      </c>
      <c r="Y121" s="2">
        <v>0.61241028361890704</v>
      </c>
      <c r="Z121" s="2">
        <v>0.64829080678959772</v>
      </c>
      <c r="AA121" s="2">
        <v>0.73396339190099114</v>
      </c>
      <c r="AB121" s="2">
        <v>0.80703213928862538</v>
      </c>
      <c r="AC121" s="1" t="s">
        <v>217</v>
      </c>
    </row>
    <row r="122" spans="1:29" x14ac:dyDescent="0.35">
      <c r="A122" s="1" t="s">
        <v>195</v>
      </c>
      <c r="B122" s="1" t="s">
        <v>71</v>
      </c>
      <c r="C122" s="1" t="s">
        <v>252</v>
      </c>
      <c r="D122" s="1">
        <v>345670</v>
      </c>
      <c r="E122" s="1">
        <v>6227606</v>
      </c>
      <c r="F122" s="1">
        <v>4</v>
      </c>
      <c r="G122" s="1" t="s">
        <v>225</v>
      </c>
      <c r="H122" s="1" t="s">
        <v>96</v>
      </c>
      <c r="I122" s="1" t="s">
        <v>103</v>
      </c>
      <c r="J122" s="2">
        <v>6.21</v>
      </c>
      <c r="K122" s="2">
        <v>1.4845797968614438</v>
      </c>
      <c r="L122" s="2">
        <v>0.30300457270159648</v>
      </c>
      <c r="M122" s="2">
        <v>3.3498270517155215</v>
      </c>
      <c r="N122" s="2">
        <v>11.039770188651005</v>
      </c>
      <c r="O122" s="2">
        <v>0.12777622666666666</v>
      </c>
      <c r="P122" s="2">
        <v>0.166875</v>
      </c>
      <c r="Q122" s="2">
        <f t="shared" si="3"/>
        <v>9.14628546543487</v>
      </c>
      <c r="R122" s="2">
        <v>0.19937500000000008</v>
      </c>
      <c r="S122" s="2">
        <f t="shared" si="4"/>
        <v>0.36625000000000008</v>
      </c>
      <c r="T122" s="2">
        <v>0.63374999999999992</v>
      </c>
      <c r="U122" s="3">
        <v>5392477662.2910013</v>
      </c>
      <c r="V122" s="3">
        <v>15955057.503188714</v>
      </c>
      <c r="W122" s="2">
        <f t="shared" si="5"/>
        <v>2.9587619091611013E-3</v>
      </c>
      <c r="X122" s="2">
        <v>0.9071513446351851</v>
      </c>
      <c r="Y122" s="2">
        <v>0.41474836481780647</v>
      </c>
      <c r="Z122" s="2">
        <v>0.27627053654083572</v>
      </c>
      <c r="AA122" s="2">
        <v>0.22014152573527873</v>
      </c>
      <c r="AB122" s="2">
        <v>0.28277351584232335</v>
      </c>
      <c r="AC122" s="1" t="s">
        <v>240</v>
      </c>
    </row>
    <row r="123" spans="1:29" x14ac:dyDescent="0.35">
      <c r="A123" s="1" t="s">
        <v>196</v>
      </c>
      <c r="B123" s="1" t="s">
        <v>70</v>
      </c>
      <c r="C123" s="1" t="s">
        <v>252</v>
      </c>
      <c r="D123" s="1">
        <v>345670</v>
      </c>
      <c r="E123" s="1">
        <v>6227606</v>
      </c>
      <c r="F123" s="1">
        <v>4</v>
      </c>
      <c r="G123" s="1" t="s">
        <v>225</v>
      </c>
      <c r="H123" s="1" t="s">
        <v>96</v>
      </c>
      <c r="I123" s="1" t="s">
        <v>104</v>
      </c>
      <c r="J123" s="2">
        <v>5.95</v>
      </c>
      <c r="K123" s="2">
        <v>1.3230279700260121</v>
      </c>
      <c r="L123" s="2">
        <v>0.22628812531581474</v>
      </c>
      <c r="M123" s="2">
        <v>2.4539477896843587</v>
      </c>
      <c r="N123" s="2">
        <v>10.864522446540699</v>
      </c>
      <c r="O123" s="2">
        <v>0.11758512</v>
      </c>
      <c r="P123" s="2">
        <v>0.20437500000000003</v>
      </c>
      <c r="Q123" s="2">
        <f t="shared" si="3"/>
        <v>4.9953135667874982</v>
      </c>
      <c r="R123" s="2">
        <v>0.28687500000000005</v>
      </c>
      <c r="S123" s="2">
        <f t="shared" si="4"/>
        <v>0.49125000000000008</v>
      </c>
      <c r="T123" s="2">
        <v>0.50874999999999992</v>
      </c>
      <c r="U123" s="3">
        <v>7459277503.8572006</v>
      </c>
      <c r="V123" s="3">
        <v>289863004.32730651</v>
      </c>
      <c r="W123" s="2">
        <f t="shared" si="5"/>
        <v>3.8859394113896155E-2</v>
      </c>
      <c r="X123" s="2">
        <v>0.9071513446351851</v>
      </c>
      <c r="Y123" s="2">
        <v>0.41474836481780647</v>
      </c>
      <c r="Z123" s="2">
        <v>0.27627053654083572</v>
      </c>
      <c r="AA123" s="2">
        <v>0.22014152573527873</v>
      </c>
      <c r="AB123" s="2">
        <v>0.28277351584232335</v>
      </c>
      <c r="AC123" s="1" t="s">
        <v>240</v>
      </c>
    </row>
    <row r="124" spans="1:29" x14ac:dyDescent="0.35">
      <c r="A124" s="1" t="s">
        <v>197</v>
      </c>
      <c r="B124" s="1" t="s">
        <v>73</v>
      </c>
      <c r="C124" s="1" t="s">
        <v>253</v>
      </c>
      <c r="D124" s="1">
        <v>347526</v>
      </c>
      <c r="E124" s="1">
        <v>6228850</v>
      </c>
      <c r="F124" s="1">
        <v>4</v>
      </c>
      <c r="G124" s="1" t="s">
        <v>225</v>
      </c>
      <c r="H124" s="1" t="s">
        <v>96</v>
      </c>
      <c r="I124" s="1" t="s">
        <v>105</v>
      </c>
      <c r="J124" s="2">
        <v>6.47</v>
      </c>
      <c r="K124" s="2">
        <v>1.5334777627115803</v>
      </c>
      <c r="L124" s="2">
        <v>0.27238051606773328</v>
      </c>
      <c r="M124" s="2">
        <v>3.0882867132503748</v>
      </c>
      <c r="N124" s="2">
        <v>11.335809908938822</v>
      </c>
      <c r="O124" s="2">
        <v>0.10452771100000001</v>
      </c>
      <c r="P124" s="2">
        <v>0.25437500000000002</v>
      </c>
      <c r="Q124" s="2">
        <f t="shared" si="3"/>
        <v>5.3361325498926551</v>
      </c>
      <c r="R124" s="2">
        <v>0.32437500000000008</v>
      </c>
      <c r="S124" s="2">
        <f t="shared" si="4"/>
        <v>0.5787500000000001</v>
      </c>
      <c r="T124" s="2">
        <v>0.4212499999999999</v>
      </c>
      <c r="U124" s="3">
        <v>10754580667.014534</v>
      </c>
      <c r="V124" s="3">
        <v>479719.40212136752</v>
      </c>
      <c r="W124" s="2">
        <f t="shared" si="5"/>
        <v>4.4606053641191145E-5</v>
      </c>
      <c r="X124" s="2">
        <v>0.30971551925682833</v>
      </c>
      <c r="Y124" s="2">
        <v>0.36179217273800313</v>
      </c>
      <c r="Z124" s="2">
        <v>0.30406729112651232</v>
      </c>
      <c r="AA124" s="2">
        <v>0.37072247373292749</v>
      </c>
      <c r="AB124" s="2">
        <v>0.403505603615255</v>
      </c>
      <c r="AC124" s="1" t="s">
        <v>240</v>
      </c>
    </row>
    <row r="125" spans="1:29" x14ac:dyDescent="0.35">
      <c r="A125" s="1" t="s">
        <v>198</v>
      </c>
      <c r="B125" s="1" t="s">
        <v>72</v>
      </c>
      <c r="C125" s="1" t="s">
        <v>253</v>
      </c>
      <c r="D125" s="1">
        <v>347526</v>
      </c>
      <c r="E125" s="1">
        <v>6228850</v>
      </c>
      <c r="F125" s="1">
        <v>4</v>
      </c>
      <c r="G125" s="1" t="s">
        <v>225</v>
      </c>
      <c r="H125" s="1" t="s">
        <v>96</v>
      </c>
      <c r="I125" s="1" t="s">
        <v>106</v>
      </c>
      <c r="J125" s="2">
        <v>5.6</v>
      </c>
      <c r="K125" s="2">
        <v>0.99429456011917638</v>
      </c>
      <c r="L125" s="2">
        <v>0.16655054576885264</v>
      </c>
      <c r="M125" s="2">
        <v>1.9544104454377251</v>
      </c>
      <c r="N125" s="2">
        <v>11.734069478239228</v>
      </c>
      <c r="O125" s="2">
        <v>8.5144894333333332E-2</v>
      </c>
      <c r="P125" s="2">
        <v>0.20875000000000005</v>
      </c>
      <c r="Q125" s="2">
        <f t="shared" si="3"/>
        <v>3.6616589141690397</v>
      </c>
      <c r="R125" s="2">
        <v>0.32500000000000001</v>
      </c>
      <c r="S125" s="2">
        <f t="shared" si="4"/>
        <v>0.53375000000000006</v>
      </c>
      <c r="T125" s="2">
        <v>0.46624999999999994</v>
      </c>
      <c r="U125" s="3">
        <v>15721222024.106928</v>
      </c>
      <c r="V125" s="3">
        <v>245142998.44970146</v>
      </c>
      <c r="W125" s="2">
        <f t="shared" si="5"/>
        <v>1.5593126162444567E-2</v>
      </c>
      <c r="X125" s="2">
        <v>0.30971551925682833</v>
      </c>
      <c r="Y125" s="2">
        <v>0.36179217273800313</v>
      </c>
      <c r="Z125" s="2">
        <v>0.30406729112651232</v>
      </c>
      <c r="AA125" s="2">
        <v>0.37072247373292749</v>
      </c>
      <c r="AB125" s="2">
        <v>0.403505603615255</v>
      </c>
      <c r="AC125" s="1" t="s">
        <v>240</v>
      </c>
    </row>
    <row r="126" spans="1:29" x14ac:dyDescent="0.35">
      <c r="A126" s="1" t="s">
        <v>199</v>
      </c>
      <c r="B126" s="1" t="s">
        <v>75</v>
      </c>
      <c r="C126" s="1" t="s">
        <v>254</v>
      </c>
      <c r="D126" s="1">
        <v>347526</v>
      </c>
      <c r="E126" s="1">
        <v>6228850</v>
      </c>
      <c r="F126" s="1">
        <v>4</v>
      </c>
      <c r="G126" s="1" t="s">
        <v>225</v>
      </c>
      <c r="H126" s="1" t="s">
        <v>96</v>
      </c>
      <c r="I126" s="1" t="s">
        <v>107</v>
      </c>
      <c r="J126" s="2">
        <v>6.16</v>
      </c>
      <c r="K126" s="2">
        <v>2.0476687599206556</v>
      </c>
      <c r="L126" s="2">
        <v>0.52521049956506938</v>
      </c>
      <c r="M126" s="2">
        <v>4.6405857120747571</v>
      </c>
      <c r="N126" s="2">
        <v>8.8453019058143081</v>
      </c>
      <c r="O126" s="2">
        <v>0.32838638466666664</v>
      </c>
      <c r="P126" s="2">
        <v>0.15875</v>
      </c>
      <c r="Q126" s="2">
        <f t="shared" si="3"/>
        <v>11.975705063418728</v>
      </c>
      <c r="R126" s="2">
        <v>0.22875000000000001</v>
      </c>
      <c r="S126" s="2">
        <f t="shared" si="4"/>
        <v>0.38750000000000001</v>
      </c>
      <c r="T126" s="2">
        <v>0.61250000000000004</v>
      </c>
      <c r="U126" s="3">
        <v>7801607507.6177654</v>
      </c>
      <c r="V126" s="3">
        <v>307259443.58997136</v>
      </c>
      <c r="W126" s="2">
        <f t="shared" si="5"/>
        <v>3.9384119656103229E-2</v>
      </c>
      <c r="X126" s="2">
        <v>0.30971551925682833</v>
      </c>
      <c r="Y126" s="2">
        <v>0.36179217273800313</v>
      </c>
      <c r="Z126" s="2">
        <v>0.30406729112651232</v>
      </c>
      <c r="AA126" s="2">
        <v>0.37072247373292749</v>
      </c>
      <c r="AB126" s="2">
        <v>0.403505603615255</v>
      </c>
      <c r="AC126" s="1" t="s">
        <v>240</v>
      </c>
    </row>
    <row r="127" spans="1:29" x14ac:dyDescent="0.35">
      <c r="A127" s="1" t="s">
        <v>200</v>
      </c>
      <c r="B127" s="1" t="s">
        <v>74</v>
      </c>
      <c r="C127" s="1" t="s">
        <v>254</v>
      </c>
      <c r="D127" s="1">
        <v>347526</v>
      </c>
      <c r="E127" s="1">
        <v>6228850</v>
      </c>
      <c r="F127" s="1">
        <v>4</v>
      </c>
      <c r="G127" s="1" t="s">
        <v>225</v>
      </c>
      <c r="H127" s="1" t="s">
        <v>96</v>
      </c>
      <c r="I127" s="1" t="s">
        <v>108</v>
      </c>
      <c r="J127" s="2">
        <v>6.15</v>
      </c>
      <c r="K127" s="2">
        <v>3.486999244497806</v>
      </c>
      <c r="L127" s="2">
        <v>0.8771664113887615</v>
      </c>
      <c r="M127" s="2">
        <v>10.962543172382746</v>
      </c>
      <c r="N127" s="2">
        <v>12.510671756622884</v>
      </c>
      <c r="O127" s="2">
        <v>0.35123210066666671</v>
      </c>
      <c r="P127" s="2">
        <v>0.19187499999999999</v>
      </c>
      <c r="Q127" s="2">
        <f t="shared" si="3"/>
        <v>23.512156938086317</v>
      </c>
      <c r="R127" s="2">
        <v>0.27437500000000009</v>
      </c>
      <c r="S127" s="2">
        <f t="shared" si="4"/>
        <v>0.46625000000000005</v>
      </c>
      <c r="T127" s="2">
        <v>0.53374999999999995</v>
      </c>
      <c r="U127" s="3">
        <v>8682681934.5202961</v>
      </c>
      <c r="V127" s="3">
        <v>257969218.54351807</v>
      </c>
      <c r="W127" s="2">
        <f t="shared" si="5"/>
        <v>2.9710776058477193E-2</v>
      </c>
      <c r="X127" s="2">
        <v>0.30971551925682833</v>
      </c>
      <c r="Y127" s="2">
        <v>0.36179217273800313</v>
      </c>
      <c r="Z127" s="2">
        <v>0.30406729112651232</v>
      </c>
      <c r="AA127" s="2">
        <v>0.37072247373292749</v>
      </c>
      <c r="AB127" s="2">
        <v>0.403505603615255</v>
      </c>
      <c r="AC127" s="1" t="s">
        <v>240</v>
      </c>
    </row>
    <row r="128" spans="1:29" x14ac:dyDescent="0.35">
      <c r="A128" s="1" t="s">
        <v>132</v>
      </c>
      <c r="B128" s="1" t="s">
        <v>76</v>
      </c>
      <c r="C128" s="1" t="s">
        <v>264</v>
      </c>
      <c r="D128" s="1">
        <v>353716</v>
      </c>
      <c r="E128" s="1">
        <v>6232513</v>
      </c>
      <c r="F128" s="1">
        <v>4</v>
      </c>
      <c r="G128" s="1" t="s">
        <v>43</v>
      </c>
      <c r="H128" s="1" t="s">
        <v>96</v>
      </c>
      <c r="I128" s="1" t="s">
        <v>43</v>
      </c>
      <c r="J128" s="2">
        <v>5.79</v>
      </c>
      <c r="K128" s="2">
        <v>2.1294772404522693</v>
      </c>
      <c r="L128" s="2">
        <v>0.23233965416253513</v>
      </c>
      <c r="M128" s="2">
        <v>4.1258038600211666</v>
      </c>
      <c r="N128" s="2">
        <v>17.748795535947032</v>
      </c>
      <c r="O128" s="2">
        <v>3.4657167666666662E-2</v>
      </c>
      <c r="P128" s="2">
        <v>0.11687500000000001</v>
      </c>
      <c r="Q128" s="2">
        <f t="shared" si="3"/>
        <v>12.090267721673747</v>
      </c>
      <c r="R128" s="2">
        <v>0.22437500000000007</v>
      </c>
      <c r="S128" s="2">
        <f t="shared" si="4"/>
        <v>0.34125000000000005</v>
      </c>
      <c r="T128" s="2">
        <v>0.65874999999999995</v>
      </c>
      <c r="U128" s="3">
        <v>14927975601.951694</v>
      </c>
      <c r="V128" s="3">
        <v>515410472.34502184</v>
      </c>
      <c r="W128" s="2">
        <f t="shared" si="5"/>
        <v>3.4526481425762562E-2</v>
      </c>
      <c r="X128" s="2">
        <v>0.76693583977122526</v>
      </c>
      <c r="Y128" s="2">
        <v>0.77889305133303488</v>
      </c>
      <c r="Z128" s="2">
        <v>0.80000487304684398</v>
      </c>
      <c r="AA128" s="2">
        <v>0.81765088069734393</v>
      </c>
      <c r="AB128" s="2">
        <v>0.84521562557317897</v>
      </c>
      <c r="AC128" s="1" t="s">
        <v>217</v>
      </c>
    </row>
    <row r="129" spans="1:29" x14ac:dyDescent="0.35">
      <c r="A129" s="1" t="s">
        <v>133</v>
      </c>
      <c r="B129" s="1" t="s">
        <v>77</v>
      </c>
      <c r="C129" s="1" t="s">
        <v>264</v>
      </c>
      <c r="D129" s="1">
        <v>353716</v>
      </c>
      <c r="E129" s="1">
        <v>6232513</v>
      </c>
      <c r="F129" s="1">
        <v>4</v>
      </c>
      <c r="G129" s="1" t="s">
        <v>43</v>
      </c>
      <c r="H129" s="1" t="s">
        <v>96</v>
      </c>
      <c r="I129" s="1" t="s">
        <v>43</v>
      </c>
      <c r="J129" s="2">
        <v>5.94</v>
      </c>
      <c r="K129" s="2">
        <v>1.9793854643220641</v>
      </c>
      <c r="L129" s="2">
        <v>5.8163561850400525</v>
      </c>
      <c r="M129" s="2">
        <v>8.618976167010203</v>
      </c>
      <c r="N129" s="2">
        <v>10.024733891916183</v>
      </c>
      <c r="O129" s="2">
        <v>3.3227413333333337E-2</v>
      </c>
      <c r="P129" s="2">
        <v>0.10875000000000001</v>
      </c>
      <c r="Q129" s="2">
        <f t="shared" si="3"/>
        <v>21.547440417525507</v>
      </c>
      <c r="R129" s="2">
        <v>0.29125000000000001</v>
      </c>
      <c r="S129" s="2">
        <f t="shared" si="4"/>
        <v>0.4</v>
      </c>
      <c r="T129" s="2">
        <v>0.6</v>
      </c>
      <c r="U129" s="3">
        <v>7937417524.6432629</v>
      </c>
      <c r="V129" s="3">
        <v>163016791.05466017</v>
      </c>
      <c r="W129" s="2">
        <f t="shared" si="5"/>
        <v>2.0537761878916247E-2</v>
      </c>
      <c r="X129" s="2">
        <v>0.76693583977122526</v>
      </c>
      <c r="Y129" s="2">
        <v>0.77889305133303488</v>
      </c>
      <c r="Z129" s="2">
        <v>0.80000487304684398</v>
      </c>
      <c r="AA129" s="2">
        <v>0.81765088069734393</v>
      </c>
      <c r="AB129" s="2">
        <v>0.84521562557317897</v>
      </c>
      <c r="AC129" s="1" t="s">
        <v>217</v>
      </c>
    </row>
    <row r="130" spans="1:29" x14ac:dyDescent="0.35">
      <c r="A130" s="1" t="s">
        <v>201</v>
      </c>
      <c r="B130" s="1" t="s">
        <v>79</v>
      </c>
      <c r="C130" s="1" t="s">
        <v>255</v>
      </c>
      <c r="D130" s="1">
        <v>322204</v>
      </c>
      <c r="E130" s="1">
        <v>6169551.9000000004</v>
      </c>
      <c r="F130" s="1">
        <v>5</v>
      </c>
      <c r="G130" s="1" t="s">
        <v>225</v>
      </c>
      <c r="H130" s="1" t="s">
        <v>96</v>
      </c>
      <c r="I130" s="1" t="s">
        <v>103</v>
      </c>
      <c r="J130" s="2">
        <v>6.4</v>
      </c>
      <c r="K130" s="2">
        <v>3.0246364473363223</v>
      </c>
      <c r="L130" s="2">
        <v>5.3243228379415308</v>
      </c>
      <c r="M130" s="2">
        <v>7.7594477311955874</v>
      </c>
      <c r="N130" s="2">
        <v>7.9985148597737297</v>
      </c>
      <c r="O130" s="2">
        <v>8.559092833333333E-2</v>
      </c>
      <c r="P130" s="2">
        <v>0.17937500000000001</v>
      </c>
      <c r="Q130" s="2">
        <f t="shared" si="3"/>
        <v>17.585150665599063</v>
      </c>
      <c r="R130" s="2">
        <v>0.26187500000000002</v>
      </c>
      <c r="S130" s="2">
        <f t="shared" si="4"/>
        <v>0.44125000000000003</v>
      </c>
      <c r="T130" s="2">
        <v>0.55874999999999997</v>
      </c>
      <c r="U130" s="3">
        <v>11603046838.049728</v>
      </c>
      <c r="V130" s="3">
        <v>152115617.53791928</v>
      </c>
      <c r="W130" s="2">
        <f t="shared" si="5"/>
        <v>1.3109971860071134E-2</v>
      </c>
      <c r="X130" s="2">
        <v>0</v>
      </c>
      <c r="Y130" s="2">
        <v>0.22319526600585063</v>
      </c>
      <c r="Z130" s="2">
        <v>0.16963024897294132</v>
      </c>
      <c r="AA130" s="2">
        <v>0.17474353314797414</v>
      </c>
      <c r="AB130" s="2">
        <v>0.24237454182034887</v>
      </c>
      <c r="AC130" s="1" t="s">
        <v>240</v>
      </c>
    </row>
    <row r="131" spans="1:29" x14ac:dyDescent="0.35">
      <c r="A131" s="1" t="s">
        <v>202</v>
      </c>
      <c r="B131" s="1" t="s">
        <v>78</v>
      </c>
      <c r="C131" s="1" t="s">
        <v>255</v>
      </c>
      <c r="D131" s="1">
        <v>322204</v>
      </c>
      <c r="E131" s="1">
        <v>6169551.9000000004</v>
      </c>
      <c r="F131" s="1">
        <v>5</v>
      </c>
      <c r="G131" s="1" t="s">
        <v>225</v>
      </c>
      <c r="H131" s="1" t="s">
        <v>96</v>
      </c>
      <c r="I131" s="1" t="s">
        <v>104</v>
      </c>
      <c r="J131" s="2">
        <v>6.92</v>
      </c>
      <c r="K131" s="2">
        <v>1.1881505576871751</v>
      </c>
      <c r="L131" s="2">
        <v>4.9392601226690376</v>
      </c>
      <c r="M131" s="2">
        <v>7.3270388082152671</v>
      </c>
      <c r="N131" s="2">
        <v>8.7659448189378892</v>
      </c>
      <c r="O131" s="2">
        <v>7.0717246999999997E-2</v>
      </c>
      <c r="P131" s="2">
        <v>0.19187499999999999</v>
      </c>
      <c r="Q131" s="2">
        <f t="shared" ref="Q131:Q145" si="6">M131/SUM(P131,R131)</f>
        <v>14.192811250780176</v>
      </c>
      <c r="R131" s="2">
        <v>0.32437500000000008</v>
      </c>
      <c r="S131" s="2">
        <f t="shared" ref="S131:S145" si="7">P131+R131</f>
        <v>0.5162500000000001</v>
      </c>
      <c r="T131" s="2">
        <v>0.4837499999999999</v>
      </c>
      <c r="U131" s="3">
        <v>5373896888.0945063</v>
      </c>
      <c r="V131" s="3">
        <v>259855518.56966221</v>
      </c>
      <c r="W131" s="2">
        <f t="shared" ref="W131:W145" si="8">V131/U131</f>
        <v>4.8355136687745909E-2</v>
      </c>
      <c r="X131" s="2">
        <v>0</v>
      </c>
      <c r="Y131" s="2">
        <v>0.22319526600585063</v>
      </c>
      <c r="Z131" s="2">
        <v>0.16963024897294132</v>
      </c>
      <c r="AA131" s="2">
        <v>0.17474353314797414</v>
      </c>
      <c r="AB131" s="2">
        <v>0.24237454182034887</v>
      </c>
      <c r="AC131" s="1" t="s">
        <v>240</v>
      </c>
    </row>
    <row r="132" spans="1:29" x14ac:dyDescent="0.35">
      <c r="A132" s="1" t="s">
        <v>203</v>
      </c>
      <c r="B132" s="1" t="s">
        <v>81</v>
      </c>
      <c r="C132" s="1" t="s">
        <v>256</v>
      </c>
      <c r="D132" s="1">
        <v>329995.00000000012</v>
      </c>
      <c r="E132" s="1">
        <v>6161463</v>
      </c>
      <c r="F132" s="1">
        <v>5</v>
      </c>
      <c r="G132" s="1" t="s">
        <v>225</v>
      </c>
      <c r="H132" s="1" t="s">
        <v>96</v>
      </c>
      <c r="I132" s="1" t="s">
        <v>105</v>
      </c>
      <c r="J132" s="2">
        <v>5.33</v>
      </c>
      <c r="K132" s="2">
        <v>2.5402244547079973</v>
      </c>
      <c r="L132" s="2">
        <v>0.44596709428954368</v>
      </c>
      <c r="M132" s="2">
        <v>5.3708338120281889</v>
      </c>
      <c r="N132" s="2">
        <v>12.015941171357918</v>
      </c>
      <c r="O132" s="2">
        <v>5.3063714666666671E-2</v>
      </c>
      <c r="P132" s="2">
        <v>0.15875</v>
      </c>
      <c r="Q132" s="2">
        <f t="shared" si="6"/>
        <v>13.427084530070472</v>
      </c>
      <c r="R132" s="2">
        <v>0.24124999999999999</v>
      </c>
      <c r="S132" s="2">
        <f t="shared" si="7"/>
        <v>0.4</v>
      </c>
      <c r="T132" s="2">
        <v>0.6</v>
      </c>
      <c r="U132" s="3">
        <v>7356998402.9211178</v>
      </c>
      <c r="V132" s="3">
        <v>594090129.34024763</v>
      </c>
      <c r="W132" s="2">
        <f t="shared" si="8"/>
        <v>8.0751700191257672E-2</v>
      </c>
      <c r="X132" s="2">
        <v>0</v>
      </c>
      <c r="Y132" s="2">
        <v>1.8336243540096352E-2</v>
      </c>
      <c r="Z132" s="2">
        <v>4.0715233992491273E-2</v>
      </c>
      <c r="AA132" s="2">
        <v>0.23977742599418442</v>
      </c>
      <c r="AB132" s="2">
        <v>0.44971202691909373</v>
      </c>
      <c r="AC132" s="1" t="s">
        <v>240</v>
      </c>
    </row>
    <row r="133" spans="1:29" x14ac:dyDescent="0.35">
      <c r="A133" s="1" t="s">
        <v>204</v>
      </c>
      <c r="B133" s="1" t="s">
        <v>80</v>
      </c>
      <c r="C133" s="1" t="s">
        <v>256</v>
      </c>
      <c r="D133" s="1">
        <v>329995.00000000012</v>
      </c>
      <c r="E133" s="1">
        <v>6161463</v>
      </c>
      <c r="F133" s="1">
        <v>5</v>
      </c>
      <c r="G133" s="1" t="s">
        <v>225</v>
      </c>
      <c r="H133" s="1" t="s">
        <v>96</v>
      </c>
      <c r="I133" s="1" t="s">
        <v>106</v>
      </c>
      <c r="J133" s="2">
        <v>5.12</v>
      </c>
      <c r="K133" s="2">
        <v>1.5108168343991053</v>
      </c>
      <c r="L133" s="2">
        <v>0.23994790143107828</v>
      </c>
      <c r="M133" s="2">
        <v>2.5774659361681742</v>
      </c>
      <c r="N133" s="2">
        <v>10.739561106147738</v>
      </c>
      <c r="O133" s="2">
        <v>4.2723384666666669E-2</v>
      </c>
      <c r="P133" s="2">
        <v>0.18375000000000002</v>
      </c>
      <c r="Q133" s="2">
        <f t="shared" si="6"/>
        <v>4.9926700942724915</v>
      </c>
      <c r="R133" s="2">
        <v>0.33250000000000002</v>
      </c>
      <c r="S133" s="2">
        <f t="shared" si="7"/>
        <v>0.5162500000000001</v>
      </c>
      <c r="T133" s="2">
        <v>0.4837499999999999</v>
      </c>
      <c r="U133" s="3">
        <v>14825278663.453278</v>
      </c>
      <c r="V133" s="3">
        <v>127249013.75550255</v>
      </c>
      <c r="W133" s="2">
        <f t="shared" si="8"/>
        <v>8.5832459978774003E-3</v>
      </c>
      <c r="X133" s="2">
        <v>0</v>
      </c>
      <c r="Y133" s="2">
        <v>1.8336243540096352E-2</v>
      </c>
      <c r="Z133" s="2">
        <v>4.0715233992491273E-2</v>
      </c>
      <c r="AA133" s="2">
        <v>0.23977742599418442</v>
      </c>
      <c r="AB133" s="2">
        <v>0.44971202691909373</v>
      </c>
      <c r="AC133" s="1" t="s">
        <v>240</v>
      </c>
    </row>
    <row r="134" spans="1:29" x14ac:dyDescent="0.35">
      <c r="A134" s="1" t="s">
        <v>205</v>
      </c>
      <c r="B134" s="1" t="s">
        <v>83</v>
      </c>
      <c r="C134" s="1" t="s">
        <v>257</v>
      </c>
      <c r="D134" s="1">
        <v>334921.90000000002</v>
      </c>
      <c r="E134" s="1">
        <v>6165503.5</v>
      </c>
      <c r="F134" s="1">
        <v>5</v>
      </c>
      <c r="G134" s="1" t="s">
        <v>225</v>
      </c>
      <c r="H134" s="1" t="s">
        <v>96</v>
      </c>
      <c r="I134" s="1" t="s">
        <v>107</v>
      </c>
      <c r="J134" s="2">
        <v>5.24</v>
      </c>
      <c r="K134" s="2">
        <v>1.739836681054151</v>
      </c>
      <c r="L134" s="2">
        <v>0.28681080742489856</v>
      </c>
      <c r="M134" s="2">
        <v>3.0441133478984699</v>
      </c>
      <c r="N134" s="2">
        <v>10.614797098722454</v>
      </c>
      <c r="O134" s="2">
        <v>5.4440037000000004E-2</v>
      </c>
      <c r="P134" s="2">
        <v>0.15875</v>
      </c>
      <c r="Q134" s="2">
        <f t="shared" si="6"/>
        <v>6.8311098971073658</v>
      </c>
      <c r="R134" s="2">
        <v>0.28687499999999999</v>
      </c>
      <c r="S134" s="2">
        <f t="shared" si="7"/>
        <v>0.44562499999999999</v>
      </c>
      <c r="T134" s="2">
        <v>0.55437499999999995</v>
      </c>
      <c r="U134" s="3">
        <v>460715.45998127793</v>
      </c>
      <c r="V134" s="3">
        <v>82789469.958653122</v>
      </c>
      <c r="W134" s="2">
        <f t="shared" si="8"/>
        <v>179.69761631619099</v>
      </c>
      <c r="X134" s="2">
        <v>5.570423008216337E-3</v>
      </c>
      <c r="Y134" s="2">
        <v>0.38055022016743756</v>
      </c>
      <c r="Z134" s="2">
        <v>0.63505028690473309</v>
      </c>
      <c r="AA134" s="2">
        <v>0.80700882627256121</v>
      </c>
      <c r="AB134" s="2">
        <v>0.88679127665281587</v>
      </c>
      <c r="AC134" s="1" t="s">
        <v>241</v>
      </c>
    </row>
    <row r="135" spans="1:29" x14ac:dyDescent="0.35">
      <c r="A135" s="1" t="s">
        <v>206</v>
      </c>
      <c r="B135" s="1" t="s">
        <v>82</v>
      </c>
      <c r="C135" s="1" t="s">
        <v>257</v>
      </c>
      <c r="D135" s="1">
        <v>334921.90000000002</v>
      </c>
      <c r="E135" s="1">
        <v>6165503.5</v>
      </c>
      <c r="F135" s="1">
        <v>5</v>
      </c>
      <c r="G135" s="1" t="s">
        <v>225</v>
      </c>
      <c r="H135" s="1" t="s">
        <v>96</v>
      </c>
      <c r="I135" s="1" t="s">
        <v>108</v>
      </c>
      <c r="J135" s="2">
        <v>5.14</v>
      </c>
      <c r="K135" s="2">
        <v>1.368579445792852</v>
      </c>
      <c r="L135" s="2">
        <v>0.3431919750280879</v>
      </c>
      <c r="M135" s="2">
        <v>2.9660271354737198</v>
      </c>
      <c r="N135" s="2">
        <v>8.6408912651974799</v>
      </c>
      <c r="O135" s="2">
        <v>7.4583004999999994E-2</v>
      </c>
      <c r="P135" s="2">
        <v>0.15437499999999998</v>
      </c>
      <c r="Q135" s="2">
        <f t="shared" si="6"/>
        <v>7.1255907158527787</v>
      </c>
      <c r="R135" s="2">
        <v>0.26187500000000008</v>
      </c>
      <c r="S135" s="2">
        <f t="shared" si="7"/>
        <v>0.41625000000000006</v>
      </c>
      <c r="T135" s="2">
        <v>0.58374999999999988</v>
      </c>
      <c r="U135" s="3">
        <v>5355380137.375041</v>
      </c>
      <c r="V135" s="3">
        <v>818598255.57095087</v>
      </c>
      <c r="W135" s="2">
        <f t="shared" si="8"/>
        <v>0.15285530337201977</v>
      </c>
      <c r="X135" s="2">
        <v>5.570423008216337E-3</v>
      </c>
      <c r="Y135" s="2">
        <v>0.38055022016743756</v>
      </c>
      <c r="Z135" s="2">
        <v>0.63505028690473309</v>
      </c>
      <c r="AA135" s="2">
        <v>0.80700882627256121</v>
      </c>
      <c r="AB135" s="2">
        <v>0.88679127665281587</v>
      </c>
      <c r="AC135" s="1" t="s">
        <v>241</v>
      </c>
    </row>
    <row r="136" spans="1:29" x14ac:dyDescent="0.35">
      <c r="A136" s="1" t="s">
        <v>152</v>
      </c>
      <c r="B136" s="1" t="s">
        <v>84</v>
      </c>
      <c r="C136" s="1" t="s">
        <v>265</v>
      </c>
      <c r="D136" s="1">
        <v>335139.00000000012</v>
      </c>
      <c r="E136" s="1">
        <v>6165524</v>
      </c>
      <c r="F136" s="1">
        <v>5</v>
      </c>
      <c r="G136" s="1" t="s">
        <v>43</v>
      </c>
      <c r="H136" s="1" t="s">
        <v>96</v>
      </c>
      <c r="I136" s="1" t="s">
        <v>43</v>
      </c>
      <c r="J136" s="2">
        <v>6.01</v>
      </c>
      <c r="K136" s="2">
        <v>4.5561430071070195</v>
      </c>
      <c r="L136" s="2">
        <v>0.73744473264602839</v>
      </c>
      <c r="M136" s="2">
        <v>12.094769490111466</v>
      </c>
      <c r="N136" s="2">
        <v>16.411181675952907</v>
      </c>
      <c r="O136" s="2">
        <v>6.1387354666666671E-2</v>
      </c>
      <c r="P136" s="2">
        <v>0.12937499999999999</v>
      </c>
      <c r="Q136" s="2">
        <f t="shared" si="6"/>
        <v>33.023261406447681</v>
      </c>
      <c r="R136" s="2">
        <v>0.23687500000000006</v>
      </c>
      <c r="S136" s="2">
        <f t="shared" si="7"/>
        <v>0.36625000000000008</v>
      </c>
      <c r="T136" s="2">
        <v>0.63374999999999992</v>
      </c>
      <c r="U136" s="3">
        <v>4323651829.0195026</v>
      </c>
      <c r="V136" s="3">
        <v>101523990.33638509</v>
      </c>
      <c r="W136" s="2">
        <f t="shared" si="8"/>
        <v>2.3481074413757366E-2</v>
      </c>
      <c r="X136" s="2">
        <v>0.63646061742448945</v>
      </c>
      <c r="Y136" s="2">
        <v>0.50237125879339928</v>
      </c>
      <c r="Z136" s="2">
        <v>0.68772790308482512</v>
      </c>
      <c r="AA136" s="2">
        <v>0.82294883044298694</v>
      </c>
      <c r="AB136" s="2">
        <v>0.89209375913123812</v>
      </c>
      <c r="AC136" s="1" t="s">
        <v>217</v>
      </c>
    </row>
    <row r="137" spans="1:29" x14ac:dyDescent="0.35">
      <c r="A137" s="1" t="s">
        <v>207</v>
      </c>
      <c r="B137" s="1" t="s">
        <v>85</v>
      </c>
      <c r="C137" s="1" t="s">
        <v>265</v>
      </c>
      <c r="D137" s="1">
        <v>335139.00000000012</v>
      </c>
      <c r="E137" s="1">
        <v>6165524</v>
      </c>
      <c r="F137" s="1">
        <v>5</v>
      </c>
      <c r="G137" s="1" t="s">
        <v>43</v>
      </c>
      <c r="H137" s="1" t="s">
        <v>96</v>
      </c>
      <c r="I137" s="1" t="s">
        <v>43</v>
      </c>
      <c r="J137" s="2">
        <v>5.96</v>
      </c>
      <c r="K137" s="2">
        <v>6.1386547257268047</v>
      </c>
      <c r="L137" s="2">
        <v>0.95412419878615162</v>
      </c>
      <c r="M137" s="2">
        <v>13.428397825105982</v>
      </c>
      <c r="N137" s="2">
        <v>14.0428922483952</v>
      </c>
      <c r="O137" s="2">
        <v>8.8538558333333336E-2</v>
      </c>
      <c r="P137" s="2">
        <v>8.8750000000000023E-2</v>
      </c>
      <c r="Q137" s="2">
        <f t="shared" si="6"/>
        <v>37.893186102591834</v>
      </c>
      <c r="R137" s="2">
        <v>0.265625</v>
      </c>
      <c r="S137" s="2">
        <f t="shared" si="7"/>
        <v>0.354375</v>
      </c>
      <c r="T137" s="2">
        <v>0.645625</v>
      </c>
      <c r="U137" s="3">
        <v>8047765778.6067905</v>
      </c>
      <c r="V137" s="3">
        <v>162128.47498927399</v>
      </c>
      <c r="W137" s="2">
        <f t="shared" si="8"/>
        <v>2.0145774547795213E-5</v>
      </c>
      <c r="X137" s="2">
        <v>0.63646061742448945</v>
      </c>
      <c r="Y137" s="2">
        <v>0.50237125879339928</v>
      </c>
      <c r="Z137" s="2">
        <v>0.68772790308482512</v>
      </c>
      <c r="AA137" s="2">
        <v>0.82294883044298694</v>
      </c>
      <c r="AB137" s="2">
        <v>0.89209375913123812</v>
      </c>
      <c r="AC137" s="1" t="s">
        <v>217</v>
      </c>
    </row>
    <row r="138" spans="1:29" x14ac:dyDescent="0.35">
      <c r="A138" s="1" t="s">
        <v>208</v>
      </c>
      <c r="B138" s="1" t="s">
        <v>87</v>
      </c>
      <c r="C138" s="1" t="s">
        <v>258</v>
      </c>
      <c r="D138" s="1">
        <v>302867.00000000012</v>
      </c>
      <c r="E138" s="1">
        <v>6109326</v>
      </c>
      <c r="F138" s="1">
        <v>6</v>
      </c>
      <c r="G138" s="1" t="s">
        <v>225</v>
      </c>
      <c r="H138" s="1" t="s">
        <v>96</v>
      </c>
      <c r="I138" s="1" t="s">
        <v>103</v>
      </c>
      <c r="J138" s="2">
        <v>5.35</v>
      </c>
      <c r="K138" s="2">
        <v>2.1909817846205972</v>
      </c>
      <c r="L138" s="2">
        <v>0.44555749630433444</v>
      </c>
      <c r="M138" s="2">
        <v>4.6993750556419505</v>
      </c>
      <c r="N138" s="2">
        <v>10.562089832479552</v>
      </c>
      <c r="O138" s="2">
        <v>0.14207047133333331</v>
      </c>
      <c r="P138" s="2">
        <v>8.3750000000000019E-2</v>
      </c>
      <c r="Q138" s="2">
        <f t="shared" si="6"/>
        <v>21.300283538320457</v>
      </c>
      <c r="R138" s="2">
        <v>0.13687499999999997</v>
      </c>
      <c r="S138" s="2">
        <f t="shared" si="7"/>
        <v>0.22062499999999999</v>
      </c>
      <c r="T138" s="2">
        <v>0.77937500000000004</v>
      </c>
      <c r="U138" s="3">
        <v>10247245064.795969</v>
      </c>
      <c r="V138" s="3">
        <v>182505187.32352164</v>
      </c>
      <c r="W138" s="2">
        <f t="shared" si="8"/>
        <v>1.7810171042996859E-2</v>
      </c>
      <c r="X138" s="2">
        <v>0.30064368750059028</v>
      </c>
      <c r="Y138" s="2">
        <v>0.23035613327306106</v>
      </c>
      <c r="Z138" s="2">
        <v>0.26570682709171972</v>
      </c>
      <c r="AA138" s="2">
        <v>0.28996821053775834</v>
      </c>
      <c r="AB138" s="2">
        <v>0.30734719184445736</v>
      </c>
      <c r="AC138" s="1" t="s">
        <v>240</v>
      </c>
    </row>
    <row r="139" spans="1:29" x14ac:dyDescent="0.35">
      <c r="A139" s="1" t="s">
        <v>209</v>
      </c>
      <c r="B139" s="1" t="s">
        <v>86</v>
      </c>
      <c r="C139" s="1" t="s">
        <v>258</v>
      </c>
      <c r="D139" s="1">
        <v>302867.00000000012</v>
      </c>
      <c r="E139" s="1">
        <v>6109326</v>
      </c>
      <c r="F139" s="1">
        <v>6</v>
      </c>
      <c r="G139" s="1" t="s">
        <v>225</v>
      </c>
      <c r="H139" s="1" t="s">
        <v>96</v>
      </c>
      <c r="I139" s="1" t="s">
        <v>104</v>
      </c>
      <c r="J139" s="2">
        <v>5.57</v>
      </c>
      <c r="K139" s="2">
        <v>1.6616117783914468</v>
      </c>
      <c r="L139" s="2">
        <v>0.28029171366425637</v>
      </c>
      <c r="M139" s="2">
        <v>3.0426124193125563</v>
      </c>
      <c r="N139" s="2">
        <v>10.880660405483445</v>
      </c>
      <c r="O139" s="2">
        <v>0.12693412866666667</v>
      </c>
      <c r="P139" s="2">
        <v>7.1250000000000008E-2</v>
      </c>
      <c r="Q139" s="2">
        <f t="shared" si="6"/>
        <v>15.213062096562782</v>
      </c>
      <c r="R139" s="2">
        <v>0.12875</v>
      </c>
      <c r="S139" s="2">
        <f t="shared" si="7"/>
        <v>0.2</v>
      </c>
      <c r="T139" s="2">
        <v>0.8</v>
      </c>
      <c r="U139" s="3">
        <v>48653870.055330493</v>
      </c>
      <c r="V139" s="3">
        <v>50445133.110571057</v>
      </c>
      <c r="W139" s="2">
        <f t="shared" si="8"/>
        <v>1.0368164557763544</v>
      </c>
      <c r="X139" s="2">
        <v>0.30064368750059028</v>
      </c>
      <c r="Y139" s="2">
        <v>0.23035613327306106</v>
      </c>
      <c r="Z139" s="2">
        <v>0.26570682709171972</v>
      </c>
      <c r="AA139" s="2">
        <v>0.28996821053775834</v>
      </c>
      <c r="AB139" s="2">
        <v>0.30734719184445736</v>
      </c>
      <c r="AC139" s="1" t="s">
        <v>240</v>
      </c>
    </row>
    <row r="140" spans="1:29" x14ac:dyDescent="0.35">
      <c r="A140" s="1" t="s">
        <v>210</v>
      </c>
      <c r="B140" s="1" t="s">
        <v>89</v>
      </c>
      <c r="C140" s="1" t="s">
        <v>259</v>
      </c>
      <c r="D140" s="1">
        <v>312468.99999999988</v>
      </c>
      <c r="E140" s="1">
        <v>6098487</v>
      </c>
      <c r="F140" s="1">
        <v>6</v>
      </c>
      <c r="G140" s="1" t="s">
        <v>225</v>
      </c>
      <c r="H140" s="1" t="s">
        <v>96</v>
      </c>
      <c r="I140" s="1" t="s">
        <v>105</v>
      </c>
      <c r="J140" s="2">
        <v>5.82</v>
      </c>
      <c r="K140" s="2">
        <v>4.0394949277580539</v>
      </c>
      <c r="L140" s="2">
        <v>0.49431360790254986</v>
      </c>
      <c r="M140" s="2">
        <v>5.9234323588301274</v>
      </c>
      <c r="N140" s="2">
        <v>11.985166374708692</v>
      </c>
      <c r="O140" s="2">
        <v>0.11866938</v>
      </c>
      <c r="P140" s="2">
        <v>0.12625000000000003</v>
      </c>
      <c r="Q140" s="2">
        <f t="shared" si="6"/>
        <v>14.80858089707532</v>
      </c>
      <c r="R140" s="2">
        <v>0.27374999999999994</v>
      </c>
      <c r="S140" s="2">
        <f t="shared" si="7"/>
        <v>0.39999999999999997</v>
      </c>
      <c r="T140" s="2">
        <v>0.6</v>
      </c>
      <c r="U140" s="3">
        <v>9303243856.594656</v>
      </c>
      <c r="V140" s="3">
        <v>200635576.89508504</v>
      </c>
      <c r="W140" s="2">
        <f t="shared" si="8"/>
        <v>2.1566195618194336E-2</v>
      </c>
      <c r="X140" s="2">
        <v>0</v>
      </c>
      <c r="Y140" s="2">
        <v>7.4373741526615068E-3</v>
      </c>
      <c r="Z140" s="2">
        <v>0.43443898891234478</v>
      </c>
      <c r="AA140" s="2">
        <v>0.65303755967716892</v>
      </c>
      <c r="AB140" s="2">
        <v>0.66787311766930502</v>
      </c>
      <c r="AC140" s="1" t="s">
        <v>241</v>
      </c>
    </row>
    <row r="141" spans="1:29" x14ac:dyDescent="0.35">
      <c r="A141" s="1" t="s">
        <v>211</v>
      </c>
      <c r="B141" s="1" t="s">
        <v>88</v>
      </c>
      <c r="C141" s="1" t="s">
        <v>259</v>
      </c>
      <c r="D141" s="1">
        <v>312468.99999999988</v>
      </c>
      <c r="E141" s="1">
        <v>6098487</v>
      </c>
      <c r="F141" s="1">
        <v>6</v>
      </c>
      <c r="G141" s="1" t="s">
        <v>225</v>
      </c>
      <c r="H141" s="1" t="s">
        <v>96</v>
      </c>
      <c r="I141" s="1" t="s">
        <v>106</v>
      </c>
      <c r="J141" s="2">
        <v>5.45</v>
      </c>
      <c r="K141" s="2">
        <v>3.1047307872560403</v>
      </c>
      <c r="L141" s="2">
        <v>0.36778885019690227</v>
      </c>
      <c r="M141" s="2">
        <v>4.3781068089729898</v>
      </c>
      <c r="N141" s="2">
        <v>11.905495544833927</v>
      </c>
      <c r="O141" s="2">
        <v>9.6369497999999998E-2</v>
      </c>
      <c r="P141" s="2">
        <v>8.3750000000000019E-2</v>
      </c>
      <c r="Q141" s="2">
        <f t="shared" si="6"/>
        <v>9.5435570767803561</v>
      </c>
      <c r="R141" s="2">
        <v>0.37500000000000006</v>
      </c>
      <c r="S141" s="2">
        <f t="shared" si="7"/>
        <v>0.4587500000000001</v>
      </c>
      <c r="T141" s="2">
        <v>0.5412499999999999</v>
      </c>
      <c r="U141" s="3">
        <v>11404517532.550711</v>
      </c>
      <c r="V141" s="3">
        <v>31336.334311165574</v>
      </c>
      <c r="W141" s="2">
        <f t="shared" si="8"/>
        <v>2.7477124062219716E-6</v>
      </c>
      <c r="X141" s="2">
        <v>0</v>
      </c>
      <c r="Y141" s="2">
        <v>7.4373741526615068E-3</v>
      </c>
      <c r="Z141" s="2">
        <v>0.43443898891234478</v>
      </c>
      <c r="AA141" s="2">
        <v>0.65303755967716892</v>
      </c>
      <c r="AB141" s="2">
        <v>0.66787311766930502</v>
      </c>
      <c r="AC141" s="1" t="s">
        <v>241</v>
      </c>
    </row>
    <row r="142" spans="1:29" x14ac:dyDescent="0.35">
      <c r="A142" s="1" t="s">
        <v>212</v>
      </c>
      <c r="B142" s="1" t="s">
        <v>91</v>
      </c>
      <c r="C142" s="1" t="s">
        <v>260</v>
      </c>
      <c r="D142" s="1">
        <v>312848</v>
      </c>
      <c r="E142" s="1">
        <v>6098782</v>
      </c>
      <c r="F142" s="1">
        <v>6</v>
      </c>
      <c r="G142" s="1" t="s">
        <v>225</v>
      </c>
      <c r="H142" s="1" t="s">
        <v>96</v>
      </c>
      <c r="I142" s="1" t="s">
        <v>107</v>
      </c>
      <c r="J142" s="2">
        <v>5.87</v>
      </c>
      <c r="K142" s="2">
        <v>1.7598804460533926</v>
      </c>
      <c r="L142" s="2">
        <v>0.1468047626421459</v>
      </c>
      <c r="M142" s="2">
        <v>2.0700712513262816</v>
      </c>
      <c r="N142" s="2">
        <v>14.082031899663926</v>
      </c>
      <c r="O142" s="2">
        <v>7.2493552000000003E-2</v>
      </c>
      <c r="P142" s="2">
        <v>0.17125000000000001</v>
      </c>
      <c r="Q142" s="2">
        <f t="shared" si="6"/>
        <v>3.4501187522104688</v>
      </c>
      <c r="R142" s="2">
        <v>0.42875000000000002</v>
      </c>
      <c r="S142" s="2">
        <f t="shared" si="7"/>
        <v>0.60000000000000009</v>
      </c>
      <c r="T142" s="2">
        <v>0.4</v>
      </c>
      <c r="U142" s="3">
        <v>7937417524.6432629</v>
      </c>
      <c r="V142" s="3">
        <v>408228608.14159435</v>
      </c>
      <c r="W142" s="2">
        <f t="shared" si="8"/>
        <v>5.1430910226678755E-2</v>
      </c>
      <c r="X142" s="2">
        <v>0.67628118418608163</v>
      </c>
      <c r="Y142" s="2">
        <v>0.59296200284635536</v>
      </c>
      <c r="Z142" s="2">
        <v>0.63693024673760679</v>
      </c>
      <c r="AA142" s="2">
        <v>0.73062623105424029</v>
      </c>
      <c r="AB142" s="2">
        <v>0.67021547099496348</v>
      </c>
      <c r="AC142" s="1" t="s">
        <v>241</v>
      </c>
    </row>
    <row r="143" spans="1:29" x14ac:dyDescent="0.35">
      <c r="A143" s="1" t="s">
        <v>213</v>
      </c>
      <c r="B143" s="1" t="s">
        <v>90</v>
      </c>
      <c r="C143" s="1" t="s">
        <v>260</v>
      </c>
      <c r="D143" s="1">
        <v>312848</v>
      </c>
      <c r="E143" s="1">
        <v>6098782</v>
      </c>
      <c r="F143" s="1">
        <v>6</v>
      </c>
      <c r="G143" s="1" t="s">
        <v>225</v>
      </c>
      <c r="H143" s="1" t="s">
        <v>96</v>
      </c>
      <c r="I143" s="1" t="s">
        <v>108</v>
      </c>
      <c r="J143" s="2">
        <v>5.71</v>
      </c>
      <c r="K143" s="2">
        <v>1.8621180484879514</v>
      </c>
      <c r="L143" s="2">
        <v>0.20512382851241082</v>
      </c>
      <c r="M143" s="2">
        <v>3.1193259903403501</v>
      </c>
      <c r="N143" s="2">
        <v>15.210667506972124</v>
      </c>
      <c r="O143" s="2">
        <v>6.2082017333333329E-2</v>
      </c>
      <c r="P143" s="2">
        <v>0.23375000000000004</v>
      </c>
      <c r="Q143" s="2">
        <f t="shared" si="6"/>
        <v>6.5670020849270534</v>
      </c>
      <c r="R143" s="2">
        <v>0.24124999999999996</v>
      </c>
      <c r="S143" s="2">
        <f t="shared" si="7"/>
        <v>0.47499999999999998</v>
      </c>
      <c r="T143" s="2">
        <v>0.52500000000000002</v>
      </c>
      <c r="U143" s="3">
        <v>6795525902.2875175</v>
      </c>
      <c r="V143" s="3">
        <v>146140804.94121337</v>
      </c>
      <c r="W143" s="2">
        <f t="shared" si="8"/>
        <v>2.1505444470753806E-2</v>
      </c>
      <c r="X143" s="2">
        <v>0.67628118418608163</v>
      </c>
      <c r="Y143" s="2">
        <v>0.59296200284635536</v>
      </c>
      <c r="Z143" s="2">
        <v>0.63693024673760679</v>
      </c>
      <c r="AA143" s="2">
        <v>0.73062623105424029</v>
      </c>
      <c r="AB143" s="2">
        <v>0.67021547099496348</v>
      </c>
      <c r="AC143" s="1" t="s">
        <v>241</v>
      </c>
    </row>
    <row r="144" spans="1:29" x14ac:dyDescent="0.35">
      <c r="A144" s="1" t="s">
        <v>153</v>
      </c>
      <c r="B144" s="1" t="s">
        <v>92</v>
      </c>
      <c r="C144" s="1" t="s">
        <v>266</v>
      </c>
      <c r="D144" s="1">
        <v>313072.99999999988</v>
      </c>
      <c r="E144" s="1">
        <v>6098841</v>
      </c>
      <c r="F144" s="1">
        <v>6</v>
      </c>
      <c r="G144" s="1" t="s">
        <v>43</v>
      </c>
      <c r="H144" s="1" t="s">
        <v>96</v>
      </c>
      <c r="I144" s="1" t="s">
        <v>43</v>
      </c>
      <c r="J144" s="2">
        <v>5.48</v>
      </c>
      <c r="K144" s="2">
        <v>2.2722825912677549</v>
      </c>
      <c r="L144" s="2">
        <v>0.22832554153861739</v>
      </c>
      <c r="M144" s="2">
        <v>3.5116199769081811</v>
      </c>
      <c r="N144" s="2">
        <v>15.376995947278788</v>
      </c>
      <c r="O144" s="2">
        <v>5.3320438999999997E-2</v>
      </c>
      <c r="P144" s="2">
        <v>0.30875000000000002</v>
      </c>
      <c r="Q144" s="2">
        <f t="shared" si="6"/>
        <v>6.4879814815855541</v>
      </c>
      <c r="R144" s="2">
        <v>0.23249999999999996</v>
      </c>
      <c r="S144" s="2">
        <f t="shared" si="7"/>
        <v>0.54125000000000001</v>
      </c>
      <c r="T144" s="2">
        <v>0.45874999999999999</v>
      </c>
      <c r="U144" s="3">
        <v>353189.52293049335</v>
      </c>
      <c r="V144" s="3">
        <v>185183942.36154154</v>
      </c>
      <c r="W144" s="2">
        <f t="shared" si="8"/>
        <v>524.31890058637214</v>
      </c>
      <c r="X144" s="2">
        <v>0.92803247316884174</v>
      </c>
      <c r="Y144" s="2">
        <v>0.88331903018332669</v>
      </c>
      <c r="Z144" s="2">
        <v>0.80789848712557044</v>
      </c>
      <c r="AA144" s="2">
        <v>0.71330189718880133</v>
      </c>
      <c r="AB144" s="2">
        <v>0.68484468778647967</v>
      </c>
      <c r="AC144" s="1" t="s">
        <v>217</v>
      </c>
    </row>
    <row r="145" spans="1:29" x14ac:dyDescent="0.35">
      <c r="A145" s="1" t="s">
        <v>214</v>
      </c>
      <c r="B145" s="1" t="s">
        <v>93</v>
      </c>
      <c r="C145" s="1" t="s">
        <v>266</v>
      </c>
      <c r="D145" s="1">
        <v>313072.99999999988</v>
      </c>
      <c r="E145" s="1">
        <v>6098841</v>
      </c>
      <c r="F145" s="1">
        <v>6</v>
      </c>
      <c r="G145" s="1" t="s">
        <v>43</v>
      </c>
      <c r="H145" s="1" t="s">
        <v>96</v>
      </c>
      <c r="I145" s="1" t="s">
        <v>43</v>
      </c>
      <c r="J145" s="2">
        <v>5.71</v>
      </c>
      <c r="K145" s="2">
        <v>2.384766281097805</v>
      </c>
      <c r="L145" s="2">
        <v>0.20913352895376713</v>
      </c>
      <c r="M145" s="2">
        <v>3.983843876774003</v>
      </c>
      <c r="N145" s="2">
        <v>19.027046053979973</v>
      </c>
      <c r="O145" s="2">
        <v>3.9044949333333336E-2</v>
      </c>
      <c r="P145" s="2">
        <v>0.18875000000000003</v>
      </c>
      <c r="Q145" s="2">
        <f t="shared" si="6"/>
        <v>10.989914142824835</v>
      </c>
      <c r="R145" s="2">
        <v>0.17375000000000004</v>
      </c>
      <c r="S145" s="2">
        <f t="shared" si="7"/>
        <v>0.36250000000000004</v>
      </c>
      <c r="T145" s="2">
        <v>0.63749999999999996</v>
      </c>
      <c r="U145" s="3">
        <v>4850000000</v>
      </c>
      <c r="V145" s="3">
        <v>265597579.83617255</v>
      </c>
      <c r="W145" s="2">
        <f t="shared" si="8"/>
        <v>5.4762387595087121E-2</v>
      </c>
      <c r="X145" s="2">
        <v>0.92803247316884174</v>
      </c>
      <c r="Y145" s="2">
        <v>0.88331903018332669</v>
      </c>
      <c r="Z145" s="2">
        <v>0.80789848712557044</v>
      </c>
      <c r="AA145" s="2">
        <v>0.71330189718880133</v>
      </c>
      <c r="AB145" s="2">
        <v>0.68484468778647967</v>
      </c>
      <c r="AC145" s="1" t="s">
        <v>217</v>
      </c>
    </row>
  </sheetData>
  <autoFilter ref="A1:AC145" xr:uid="{CACA4775-CC11-47A3-82AE-1D25C049E6FC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FB16BF-0F07-4B7D-82DF-16B1DEF046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Mirtala</dc:creator>
  <cp:lastModifiedBy>Pedro Mondaca</cp:lastModifiedBy>
  <dcterms:created xsi:type="dcterms:W3CDTF">2022-05-09T16:08:27Z</dcterms:created>
  <dcterms:modified xsi:type="dcterms:W3CDTF">2026-03-24T04:52:01Z</dcterms:modified>
</cp:coreProperties>
</file>