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\Research\microbiome_orchard_forest\"/>
    </mc:Choice>
  </mc:AlternateContent>
  <xr:revisionPtr revIDLastSave="0" documentId="13_ncr:1_{8524C4D6-A7B5-454C-9C18-A62C9CBCF2A2}" xr6:coauthVersionLast="47" xr6:coauthVersionMax="47" xr10:uidLastSave="{00000000-0000-0000-0000-000000000000}"/>
  <bookViews>
    <workbookView xWindow="-110" yWindow="-110" windowWidth="25820" windowHeight="15500" xr2:uid="{CAF60AAF-47E4-45AC-8AF7-2AFC90579815}"/>
  </bookViews>
  <sheets>
    <sheet name="All" sheetId="17" r:id="rId1"/>
  </sheets>
  <definedNames>
    <definedName name="_xlnm._FilterDatabase" localSheetId="0" hidden="1">All!$A$1:$AC$145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3" i="17" l="1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18" i="17"/>
  <c r="S19" i="17"/>
  <c r="S20" i="17"/>
  <c r="S21" i="17"/>
  <c r="S22" i="17"/>
  <c r="S23" i="17"/>
  <c r="S24" i="17"/>
  <c r="S25" i="17"/>
  <c r="S26" i="17"/>
  <c r="S27" i="17"/>
  <c r="S28" i="17"/>
  <c r="S29" i="17"/>
  <c r="S30" i="17"/>
  <c r="S31" i="17"/>
  <c r="S32" i="17"/>
  <c r="S33" i="17"/>
  <c r="S34" i="17"/>
  <c r="S35" i="17"/>
  <c r="S36" i="17"/>
  <c r="S37" i="17"/>
  <c r="S38" i="17"/>
  <c r="S39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S64" i="17"/>
  <c r="S65" i="17"/>
  <c r="S66" i="17"/>
  <c r="S67" i="17"/>
  <c r="S68" i="17"/>
  <c r="S69" i="17"/>
  <c r="S70" i="17"/>
  <c r="S71" i="17"/>
  <c r="S72" i="17"/>
  <c r="S73" i="17"/>
  <c r="S74" i="17"/>
  <c r="S75" i="17"/>
  <c r="S76" i="17"/>
  <c r="S77" i="17"/>
  <c r="S78" i="17"/>
  <c r="S79" i="17"/>
  <c r="S80" i="17"/>
  <c r="S81" i="17"/>
  <c r="S82" i="17"/>
  <c r="S83" i="17"/>
  <c r="S84" i="17"/>
  <c r="S85" i="17"/>
  <c r="S86" i="17"/>
  <c r="S87" i="17"/>
  <c r="S88" i="17"/>
  <c r="S89" i="17"/>
  <c r="S90" i="17"/>
  <c r="S91" i="17"/>
  <c r="S92" i="17"/>
  <c r="S93" i="17"/>
  <c r="S94" i="17"/>
  <c r="S95" i="17"/>
  <c r="S96" i="17"/>
  <c r="S97" i="17"/>
  <c r="S98" i="17"/>
  <c r="S99" i="17"/>
  <c r="S100" i="17"/>
  <c r="S101" i="17"/>
  <c r="S102" i="17"/>
  <c r="S103" i="17"/>
  <c r="S104" i="17"/>
  <c r="S105" i="17"/>
  <c r="S106" i="17"/>
  <c r="S107" i="17"/>
  <c r="S108" i="17"/>
  <c r="S109" i="17"/>
  <c r="S110" i="17"/>
  <c r="S111" i="17"/>
  <c r="S112" i="17"/>
  <c r="S113" i="17"/>
  <c r="S114" i="17"/>
  <c r="S115" i="17"/>
  <c r="S116" i="17"/>
  <c r="S117" i="17"/>
  <c r="S118" i="17"/>
  <c r="S119" i="17"/>
  <c r="S120" i="17"/>
  <c r="S121" i="17"/>
  <c r="S122" i="17"/>
  <c r="S123" i="17"/>
  <c r="S124" i="17"/>
  <c r="S125" i="17"/>
  <c r="S126" i="17"/>
  <c r="S127" i="17"/>
  <c r="S128" i="17"/>
  <c r="S129" i="17"/>
  <c r="S130" i="17"/>
  <c r="S131" i="17"/>
  <c r="S132" i="17"/>
  <c r="S133" i="17"/>
  <c r="S134" i="17"/>
  <c r="S135" i="17"/>
  <c r="S136" i="17"/>
  <c r="S137" i="17"/>
  <c r="S138" i="17"/>
  <c r="S139" i="17"/>
  <c r="S140" i="17"/>
  <c r="S141" i="17"/>
  <c r="S142" i="17"/>
  <c r="S143" i="17"/>
  <c r="S144" i="17"/>
  <c r="S145" i="17"/>
  <c r="S2" i="17"/>
  <c r="Q3" i="17" l="1"/>
  <c r="Q4" i="17"/>
  <c r="Q5" i="17"/>
  <c r="Q6" i="17"/>
  <c r="Q7" i="17"/>
  <c r="Q8" i="17"/>
  <c r="Q9" i="17"/>
  <c r="Q10" i="17"/>
  <c r="Q11" i="17"/>
  <c r="Q12" i="17"/>
  <c r="Q13" i="17"/>
  <c r="Q14" i="17"/>
  <c r="Q15" i="17"/>
  <c r="Q16" i="17"/>
  <c r="Q17" i="17"/>
  <c r="Q18" i="17"/>
  <c r="Q19" i="17"/>
  <c r="Q20" i="17"/>
  <c r="Q21" i="17"/>
  <c r="Q22" i="17"/>
  <c r="Q23" i="17"/>
  <c r="Q24" i="17"/>
  <c r="Q25" i="17"/>
  <c r="Q26" i="17"/>
  <c r="Q27" i="17"/>
  <c r="Q28" i="17"/>
  <c r="Q29" i="17"/>
  <c r="Q30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55" i="17"/>
  <c r="Q56" i="17"/>
  <c r="Q57" i="17"/>
  <c r="Q58" i="17"/>
  <c r="Q59" i="17"/>
  <c r="Q60" i="17"/>
  <c r="Q61" i="17"/>
  <c r="Q62" i="17"/>
  <c r="Q63" i="17"/>
  <c r="Q64" i="17"/>
  <c r="Q65" i="17"/>
  <c r="Q66" i="17"/>
  <c r="Q67" i="17"/>
  <c r="Q68" i="17"/>
  <c r="Q69" i="17"/>
  <c r="Q70" i="17"/>
  <c r="Q71" i="17"/>
  <c r="Q72" i="17"/>
  <c r="Q73" i="17"/>
  <c r="Q74" i="17"/>
  <c r="Q75" i="17"/>
  <c r="Q76" i="17"/>
  <c r="Q77" i="17"/>
  <c r="Q78" i="17"/>
  <c r="Q79" i="17"/>
  <c r="Q80" i="17"/>
  <c r="Q81" i="17"/>
  <c r="Q82" i="17"/>
  <c r="Q83" i="17"/>
  <c r="Q84" i="17"/>
  <c r="Q85" i="17"/>
  <c r="Q86" i="17"/>
  <c r="Q87" i="17"/>
  <c r="Q88" i="17"/>
  <c r="Q89" i="17"/>
  <c r="Q90" i="17"/>
  <c r="Q91" i="17"/>
  <c r="Q92" i="17"/>
  <c r="Q93" i="17"/>
  <c r="Q94" i="17"/>
  <c r="Q95" i="17"/>
  <c r="Q96" i="17"/>
  <c r="Q97" i="17"/>
  <c r="Q98" i="17"/>
  <c r="Q99" i="17"/>
  <c r="Q100" i="17"/>
  <c r="Q101" i="17"/>
  <c r="Q102" i="17"/>
  <c r="Q103" i="17"/>
  <c r="Q104" i="17"/>
  <c r="Q105" i="17"/>
  <c r="Q106" i="17"/>
  <c r="Q107" i="17"/>
  <c r="Q108" i="17"/>
  <c r="Q109" i="17"/>
  <c r="Q110" i="17"/>
  <c r="Q111" i="17"/>
  <c r="Q112" i="17"/>
  <c r="Q113" i="17"/>
  <c r="Q114" i="17"/>
  <c r="Q115" i="17"/>
  <c r="Q116" i="17"/>
  <c r="Q117" i="17"/>
  <c r="Q118" i="17"/>
  <c r="Q119" i="17"/>
  <c r="Q120" i="17"/>
  <c r="Q121" i="17"/>
  <c r="Q122" i="17"/>
  <c r="Q123" i="17"/>
  <c r="Q124" i="17"/>
  <c r="Q125" i="17"/>
  <c r="Q126" i="17"/>
  <c r="Q127" i="17"/>
  <c r="Q128" i="17"/>
  <c r="Q129" i="17"/>
  <c r="Q130" i="17"/>
  <c r="Q131" i="17"/>
  <c r="Q132" i="17"/>
  <c r="Q133" i="17"/>
  <c r="Q134" i="17"/>
  <c r="Q135" i="17"/>
  <c r="Q136" i="17"/>
  <c r="Q137" i="17"/>
  <c r="Q138" i="17"/>
  <c r="Q139" i="17"/>
  <c r="Q140" i="17"/>
  <c r="Q141" i="17"/>
  <c r="Q142" i="17"/>
  <c r="Q143" i="17"/>
  <c r="Q144" i="17"/>
  <c r="Q145" i="17"/>
  <c r="Q2" i="17"/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1" i="17"/>
  <c r="W42" i="17"/>
  <c r="W43" i="17"/>
  <c r="W44" i="17"/>
  <c r="W46" i="17"/>
  <c r="W47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W138" i="17"/>
  <c r="W139" i="17"/>
  <c r="W140" i="17"/>
  <c r="W141" i="17"/>
  <c r="W142" i="17"/>
  <c r="W143" i="17"/>
  <c r="W144" i="17"/>
  <c r="W145" i="17"/>
  <c r="W2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0B2DE6-8F0E-4701-8DCC-BBC09CBD3570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<sst xmlns="http://schemas.openxmlformats.org/spreadsheetml/2006/main" count="1045" uniqueCount="267">
  <si>
    <t>ID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</si>
  <si>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</si>
  <si>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</si>
  <si>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</si>
  <si>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</si>
  <si>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</si>
  <si>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</si>
  <si>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</si>
  <si>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</si>
  <si>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</si>
  <si>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</si>
  <si>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</si>
  <si>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</si>
  <si>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</si>
  <si>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</si>
  <si>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</si>
  <si>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</si>
  <si>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</si>
  <si>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</si>
  <si>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</si>
  <si>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</si>
  <si>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</si>
  <si>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</si>
  <si>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</si>
  <si>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</si>
  <si>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</si>
  <si>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</si>
  <si>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</si>
  <si>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</si>
  <si>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</si>
  <si>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</si>
  <si>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</si>
  <si>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</si>
  <si>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</si>
  <si>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</si>
  <si>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</si>
  <si>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</si>
  <si>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N1</t>
  </si>
  <si>
    <t>N2</t>
  </si>
  <si>
    <t>N3</t>
  </si>
  <si>
    <t>N4</t>
  </si>
  <si>
    <t>N5</t>
  </si>
  <si>
    <t>N6</t>
  </si>
  <si>
    <t>Forest</t>
  </si>
  <si>
    <t>C</t>
  </si>
  <si>
    <t>N</t>
  </si>
  <si>
    <t>CN</t>
  </si>
  <si>
    <t>A1-1H</t>
  </si>
  <si>
    <t>A1-1E</t>
  </si>
  <si>
    <t>A1-2H</t>
  </si>
  <si>
    <t>A1-2E</t>
  </si>
  <si>
    <t>A1-3H</t>
  </si>
  <si>
    <t>A1-3E</t>
  </si>
  <si>
    <t>A1-N1</t>
  </si>
  <si>
    <t>A1-N2</t>
  </si>
  <si>
    <t>A2-1H</t>
  </si>
  <si>
    <t>A2-1E</t>
  </si>
  <si>
    <t>A2-2H</t>
  </si>
  <si>
    <t>A2-2E</t>
  </si>
  <si>
    <t>A2-3H</t>
  </si>
  <si>
    <t>A2-3E</t>
  </si>
  <si>
    <t>A2-N2</t>
  </si>
  <si>
    <t>A3-1H</t>
  </si>
  <si>
    <t>A3-1E</t>
  </si>
  <si>
    <t>A3-2H</t>
  </si>
  <si>
    <t>A3-2E</t>
  </si>
  <si>
    <t>A3-3H</t>
  </si>
  <si>
    <t>A3-3E</t>
  </si>
  <si>
    <t>A3-N1</t>
  </si>
  <si>
    <t>A3-N2</t>
  </si>
  <si>
    <t>C2-1H</t>
  </si>
  <si>
    <t>C2-1E</t>
  </si>
  <si>
    <t>C2-2H</t>
  </si>
  <si>
    <t>C2-2E</t>
  </si>
  <si>
    <t>C2-3H</t>
  </si>
  <si>
    <t>C2-3E</t>
  </si>
  <si>
    <t>C2-N1</t>
  </si>
  <si>
    <t>C2-N2</t>
  </si>
  <si>
    <t>C4-1H</t>
  </si>
  <si>
    <t>C4-1E</t>
  </si>
  <si>
    <t>C4-2H</t>
  </si>
  <si>
    <t>C4-2E</t>
  </si>
  <si>
    <t>C4-3H</t>
  </si>
  <si>
    <t>C4-3E</t>
  </si>
  <si>
    <t>C4-N1</t>
  </si>
  <si>
    <t>C4-N2</t>
  </si>
  <si>
    <t>C5-1H</t>
  </si>
  <si>
    <t>C5-1E</t>
  </si>
  <si>
    <t>C5-2H</t>
  </si>
  <si>
    <t>C5-2E</t>
  </si>
  <si>
    <t>C5-3H</t>
  </si>
  <si>
    <t>C5-3E</t>
  </si>
  <si>
    <t>C5-N1</t>
  </si>
  <si>
    <t>C5-N2</t>
  </si>
  <si>
    <t>Month</t>
  </si>
  <si>
    <t>September</t>
  </si>
  <si>
    <t>December</t>
  </si>
  <si>
    <t>May</t>
  </si>
  <si>
    <t>A2-N1</t>
  </si>
  <si>
    <t>pH</t>
  </si>
  <si>
    <t>P</t>
  </si>
  <si>
    <t>SOM</t>
  </si>
  <si>
    <t>Cat</t>
  </si>
  <si>
    <t>0-30-I</t>
  </si>
  <si>
    <t>0-30-R</t>
  </si>
  <si>
    <t>31-70-I</t>
  </si>
  <si>
    <t>31-70-R</t>
  </si>
  <si>
    <t>71-100-I</t>
  </si>
  <si>
    <t>71-100-R</t>
  </si>
  <si>
    <t>clay</t>
  </si>
  <si>
    <t>silt</t>
  </si>
  <si>
    <t>sand</t>
  </si>
  <si>
    <t>IMR</t>
  </si>
  <si>
    <t>N7</t>
  </si>
  <si>
    <t>N8</t>
  </si>
  <si>
    <t>N9</t>
  </si>
  <si>
    <t>N10</t>
  </si>
  <si>
    <t>C23</t>
  </si>
  <si>
    <t>C20</t>
  </si>
  <si>
    <t>C31</t>
  </si>
  <si>
    <t>C36</t>
  </si>
  <si>
    <t>A21</t>
  </si>
  <si>
    <t>A34</t>
  </si>
  <si>
    <t>A36</t>
  </si>
  <si>
    <t>A24</t>
  </si>
  <si>
    <t>A26</t>
  </si>
  <si>
    <t>A37</t>
  </si>
  <si>
    <t>A32</t>
  </si>
  <si>
    <t>N11</t>
  </si>
  <si>
    <t>N22</t>
  </si>
  <si>
    <t>N12</t>
  </si>
  <si>
    <t>N21</t>
  </si>
  <si>
    <t>N31</t>
  </si>
  <si>
    <t>N32</t>
  </si>
  <si>
    <t>A20</t>
  </si>
  <si>
    <t>A40</t>
  </si>
  <si>
    <t>A30</t>
  </si>
  <si>
    <t>A19</t>
  </si>
  <si>
    <t>A22</t>
  </si>
  <si>
    <t>A42</t>
  </si>
  <si>
    <t>A53</t>
  </si>
  <si>
    <t>A52</t>
  </si>
  <si>
    <t>A44</t>
  </si>
  <si>
    <t>A46</t>
  </si>
  <si>
    <t>A23</t>
  </si>
  <si>
    <t>N13</t>
  </si>
  <si>
    <t>N25</t>
  </si>
  <si>
    <t>N14</t>
  </si>
  <si>
    <t>N24</t>
  </si>
  <si>
    <t>A25</t>
  </si>
  <si>
    <t>N23</t>
  </si>
  <si>
    <t>A35</t>
  </si>
  <si>
    <t>N33</t>
  </si>
  <si>
    <t>N35</t>
  </si>
  <si>
    <t>A28</t>
  </si>
  <si>
    <t>A27</t>
  </si>
  <si>
    <t>A29</t>
  </si>
  <si>
    <t>N15</t>
  </si>
  <si>
    <t>N16</t>
  </si>
  <si>
    <t>A31</t>
  </si>
  <si>
    <t>A33</t>
  </si>
  <si>
    <t>N17</t>
  </si>
  <si>
    <t>N18</t>
  </si>
  <si>
    <t>C19</t>
  </si>
  <si>
    <t>C22</t>
  </si>
  <si>
    <t>C21</t>
  </si>
  <si>
    <t>C24</t>
  </si>
  <si>
    <t>N19</t>
  </si>
  <si>
    <t>N20</t>
  </si>
  <si>
    <t>C26</t>
  </si>
  <si>
    <t>C25</t>
  </si>
  <si>
    <t>C28</t>
  </si>
  <si>
    <t>C27</t>
  </si>
  <si>
    <t>C30</t>
  </si>
  <si>
    <t>C29</t>
  </si>
  <si>
    <t>C32</t>
  </si>
  <si>
    <t>C34</t>
  </si>
  <si>
    <t>C33</t>
  </si>
  <si>
    <t>C35</t>
  </si>
  <si>
    <t>A38</t>
  </si>
  <si>
    <t>A39</t>
  </si>
  <si>
    <t>A41</t>
  </si>
  <si>
    <t>N26</t>
  </si>
  <si>
    <t>A43</t>
  </si>
  <si>
    <t>A45</t>
  </si>
  <si>
    <t>A48</t>
  </si>
  <si>
    <t>A47</t>
  </si>
  <si>
    <t>N27</t>
  </si>
  <si>
    <t>N28</t>
  </si>
  <si>
    <t>A50</t>
  </si>
  <si>
    <t>A49</t>
  </si>
  <si>
    <t>A51</t>
  </si>
  <si>
    <t>A54</t>
  </si>
  <si>
    <t>N29</t>
  </si>
  <si>
    <t>N30</t>
  </si>
  <si>
    <t>C38</t>
  </si>
  <si>
    <t>C37</t>
  </si>
  <si>
    <t>C40</t>
  </si>
  <si>
    <t>C39</t>
  </si>
  <si>
    <t>C42</t>
  </si>
  <si>
    <t>C41</t>
  </si>
  <si>
    <t>C44</t>
  </si>
  <si>
    <t>C43</t>
  </si>
  <si>
    <t>C46</t>
  </si>
  <si>
    <t>C45</t>
  </si>
  <si>
    <t>C48</t>
  </si>
  <si>
    <t>C47</t>
  </si>
  <si>
    <t>N34</t>
  </si>
  <si>
    <t>C50</t>
  </si>
  <si>
    <t>C49</t>
  </si>
  <si>
    <t>C52</t>
  </si>
  <si>
    <t>C51</t>
  </si>
  <si>
    <t>C54</t>
  </si>
  <si>
    <t>C53</t>
  </si>
  <si>
    <t>N36</t>
  </si>
  <si>
    <t>qPCR_16s</t>
  </si>
  <si>
    <t>qPCR_ITS</t>
  </si>
  <si>
    <t>F</t>
  </si>
  <si>
    <t>Block</t>
  </si>
  <si>
    <t>ITS/16s</t>
  </si>
  <si>
    <t>P_100</t>
  </si>
  <si>
    <t>P_250</t>
  </si>
  <si>
    <t>P_500</t>
  </si>
  <si>
    <t>P_1000</t>
  </si>
  <si>
    <t>Group</t>
  </si>
  <si>
    <t>Orchard</t>
  </si>
  <si>
    <t>cat</t>
  </si>
  <si>
    <t>P_2500</t>
  </si>
  <si>
    <t>SOMTXT</t>
  </si>
  <si>
    <t>resp_rapida</t>
  </si>
  <si>
    <t>rrC</t>
  </si>
  <si>
    <t>r20</t>
  </si>
  <si>
    <t>r30</t>
  </si>
  <si>
    <t>r40</t>
  </si>
  <si>
    <t>20C</t>
  </si>
  <si>
    <t>30C</t>
  </si>
  <si>
    <t>40C</t>
  </si>
  <si>
    <t>Coo_X</t>
  </si>
  <si>
    <t>Coo_Y</t>
  </si>
  <si>
    <t>claysilt</t>
  </si>
  <si>
    <t>LFC</t>
  </si>
  <si>
    <t>HFC</t>
  </si>
  <si>
    <t>OrchardID</t>
  </si>
  <si>
    <t>A1-1</t>
  </si>
  <si>
    <t>A1-2</t>
  </si>
  <si>
    <t>A1-3</t>
  </si>
  <si>
    <t>A2-1</t>
  </si>
  <si>
    <t>A2-2</t>
  </si>
  <si>
    <t>A2-3</t>
  </si>
  <si>
    <t>A3-1</t>
  </si>
  <si>
    <t>A3-2</t>
  </si>
  <si>
    <t>A3-3</t>
  </si>
  <si>
    <t>C2-1</t>
  </si>
  <si>
    <t>C2-2</t>
  </si>
  <si>
    <t>C2-3</t>
  </si>
  <si>
    <t>C4-1</t>
  </si>
  <si>
    <t>C4-2</t>
  </si>
  <si>
    <t>C4-3</t>
  </si>
  <si>
    <t>C5-1</t>
  </si>
  <si>
    <t>C5-2</t>
  </si>
  <si>
    <t>C5-3</t>
  </si>
  <si>
    <t>A1-N</t>
  </si>
  <si>
    <t>A2-N</t>
  </si>
  <si>
    <t>A3-N</t>
  </si>
  <si>
    <t>C2-N</t>
  </si>
  <si>
    <t>C4-N</t>
  </si>
  <si>
    <t>C5-N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</si>
</sst>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0"/>
      <name val="Arial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1" xfId="0" applyBorder="1"/>
    <xf numFmtId="2" fontId="0" fillId="0" borderId="1" xfId="0" applyNumberFormat="1" applyBorder="1"/>
    <xf numFmtId="2" fontId="0" fillId="0" borderId="0" xfId="0" applyNumberFormat="1"/>
    <xf numFmtId="164" fontId="0" fillId="0" borderId="0" xfId="0" applyNumberFormat="1"/>
    <xf numFmtId="0" fontId="0" fillId="0" borderId="0" xfId="0" applyBorder="1"/>
  </cellXfs>
  <cellStyles count="3">
    <cellStyle name="Normal" xfId="0" builtinId="0"/>
    <cellStyle name="Normal 2" xfId="2" xr:uid="{0748E355-5A26-44E2-9DC0-5FAE939E509E}"/>
    <cellStyle name="Normal 3" xfId="1" xr:uid="{BB32BB22-4BAD-4507-B92F-DE14411041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A4775-CC11-47A3-82AE-1D25C049E6FC}">
  <dimension ref="A1:AM145"/>
  <sheetViews>
    <sheetView tabSelected="1" zoomScale="70" zoomScaleNormal="70" workbookViewId="0">
      <selection activeCell="E157" sqref="E157"/>
    </sheetView>
  </sheetViews>
  <sheetFormatPr defaultRowHeight="14.5" x14ac:dyDescent="0.35"/>
  <cols>
    <col min="4" max="4" width="19.54296875" bestFit="1" customWidth="1"/>
    <col min="5" max="5" width="19.54296875" customWidth="1"/>
    <col min="6" max="6" width="14.36328125" customWidth="1"/>
    <col min="9" max="9" width="18.36328125" customWidth="1"/>
    <col min="38" max="38" width="9.36328125" bestFit="1" customWidth="1"/>
    <col min="39" max="39" width="10.453125" bestFit="1" customWidth="1"/>
  </cols>
  <sheetData>
    <row r="1" spans="1:37" s="1" customFormat="1" x14ac:dyDescent="0.35">
      <c r="A1" s="1" t="s">
        <v>112</v>
      </c>
      <c r="B1" s="1" t="s">
        <v>0</v>
      </c>
      <c r="C1" s="1" t="s">
        <v>242</v>
      </c>
      <c r="D1" s="1" t="s">
        <v>237</v>
      </c>
      <c r="E1" s="1" t="s">
        <v>238</v>
      </c>
      <c r="F1" s="1" t="s">
        <v>218</v>
      </c>
      <c r="G1" s="1" t="s">
        <v>224</v>
      </c>
      <c r="H1" s="1" t="s">
        <v>94</v>
      </c>
      <c r="I1" s="1" t="s">
        <v>102</v>
      </c>
      <c r="J1" s="2" t="s">
        <v>99</v>
      </c>
      <c r="K1" s="2" t="s">
        <v>101</v>
      </c>
      <c r="L1" s="1" t="s">
        <v>45</v>
      </c>
      <c r="M1" s="1" t="s">
        <v>44</v>
      </c>
      <c r="N1" s="1" t="s">
        <v>46</v>
      </c>
      <c r="O1" s="2" t="s">
        <v>100</v>
      </c>
      <c r="P1" s="1" t="s">
        <v>109</v>
      </c>
      <c r="Q1" s="1" t="s">
        <v>228</v>
      </c>
      <c r="R1" s="1" t="s">
        <v>110</v>
      </c>
      <c r="S1" s="1" t="s">
        <v>239</v>
      </c>
      <c r="T1" s="1" t="s">
        <v>111</v>
      </c>
      <c r="U1" s="1" t="s">
        <v>215</v>
      </c>
      <c r="V1" s="1" t="s">
        <v>216</v>
      </c>
      <c r="W1" s="1" t="s">
        <v>219</v>
      </c>
      <c r="X1" t="s">
        <v>220</v>
      </c>
      <c r="Y1" t="s">
        <v>221</v>
      </c>
      <c r="Z1" t="s">
        <v>222</v>
      </c>
      <c r="AA1" t="s">
        <v>223</v>
      </c>
      <c r="AB1" t="s">
        <v>227</v>
      </c>
      <c r="AC1" t="s">
        <v>226</v>
      </c>
      <c r="AD1" s="1" t="s">
        <v>229</v>
      </c>
      <c r="AE1" s="1" t="s">
        <v>230</v>
      </c>
      <c r="AF1" s="1" t="s">
        <v>231</v>
      </c>
      <c r="AG1" s="1" t="s">
        <v>232</v>
      </c>
      <c r="AH1" s="1" t="s">
        <v>233</v>
      </c>
      <c r="AI1" s="1" t="s">
        <v>234</v>
      </c>
      <c r="AJ1" s="1" t="s">
        <v>235</v>
      </c>
      <c r="AK1" s="1" t="s">
        <v>236</v>
      </c>
    </row>
    <row r="2" spans="1:37" x14ac:dyDescent="0.35">
      <c r="A2" t="s">
        <v>2</v>
      </c>
      <c r="B2" t="s">
        <v>48</v>
      </c>
      <c r="C2" t="s">
        <v>243</v>
      </c>
      <c r="D2">
        <v>320995.59999999998</v>
      </c>
      <c r="E2">
        <v>6155792.2999999998</v>
      </c>
      <c r="F2">
        <v>1</v>
      </c>
      <c r="G2" t="s">
        <v>225</v>
      </c>
      <c r="H2" t="s">
        <v>97</v>
      </c>
      <c r="I2" t="s">
        <v>103</v>
      </c>
      <c r="J2" s="3">
        <v>5.95</v>
      </c>
      <c r="K2" s="3">
        <v>1.7185629756577583</v>
      </c>
      <c r="L2" s="3">
        <v>0.27485695855043424</v>
      </c>
      <c r="M2" s="3">
        <v>3.4143666870829761</v>
      </c>
      <c r="N2" s="3">
        <v>12.426221177452579</v>
      </c>
      <c r="O2" s="3">
        <v>0.12804606540000002</v>
      </c>
      <c r="P2">
        <v>0.166875</v>
      </c>
      <c r="Q2">
        <f>M2/SUM(P2,R2)</f>
        <v>7.963537462584199</v>
      </c>
      <c r="R2">
        <v>0.26187500000000008</v>
      </c>
      <c r="S2">
        <f>P2+R2</f>
        <v>0.42875000000000008</v>
      </c>
      <c r="T2">
        <v>0.57124999999999992</v>
      </c>
      <c r="U2">
        <v>10829079267.304546</v>
      </c>
      <c r="V2">
        <v>75583047.410489455</v>
      </c>
      <c r="W2">
        <f>V2/U2</f>
        <v>6.9796374691514047E-3</v>
      </c>
      <c r="X2">
        <v>0.49707271826460753</v>
      </c>
      <c r="Y2">
        <v>0.54463814652891485</v>
      </c>
      <c r="Z2">
        <v>0.34871354144153299</v>
      </c>
      <c r="AA2">
        <v>0.20725825140187598</v>
      </c>
      <c r="AB2">
        <v>0.31258178519035434</v>
      </c>
      <c r="AC2" t="s">
        <v>240</v>
      </c>
    </row>
    <row r="3" spans="1:37" x14ac:dyDescent="0.35">
      <c r="A3" t="s">
        <v>1</v>
      </c>
      <c r="B3" t="s">
        <v>47</v>
      </c>
      <c r="C3" t="s">
        <v>243</v>
      </c>
      <c r="D3">
        <v>320995.59999999998</v>
      </c>
      <c r="E3">
        <v>6155792.2999999998</v>
      </c>
      <c r="F3">
        <v>1</v>
      </c>
      <c r="G3" t="s">
        <v>225</v>
      </c>
      <c r="H3" t="s">
        <v>97</v>
      </c>
      <c r="I3" t="s">
        <v>104</v>
      </c>
      <c r="J3" s="3">
        <v>6.3</v>
      </c>
      <c r="K3" s="3">
        <v>1.4198884002497709</v>
      </c>
      <c r="L3" s="3">
        <v>0.21483442130125008</v>
      </c>
      <c r="M3" s="3">
        <v>2.8047703850994705</v>
      </c>
      <c r="N3" s="3">
        <v>13.060565624904132</v>
      </c>
      <c r="O3" s="3">
        <v>0.14472066960000002</v>
      </c>
      <c r="P3">
        <v>0.15437499999999998</v>
      </c>
      <c r="Q3">
        <f t="shared" ref="Q3:Q66" si="0">M3/SUM(P3,R3)</f>
        <v>5.70945625465541</v>
      </c>
      <c r="R3">
        <v>0.33687500000000009</v>
      </c>
      <c r="S3">
        <f t="shared" ref="S3:S66" si="1">P3+R3</f>
        <v>0.49125000000000008</v>
      </c>
      <c r="T3">
        <v>0.50874999999999992</v>
      </c>
      <c r="U3">
        <v>9271187817.753109</v>
      </c>
      <c r="V3">
        <v>88078433.270280927</v>
      </c>
      <c r="W3">
        <f t="shared" ref="W3:W66" si="2">V3/U3</f>
        <v>9.500231793559643E-3</v>
      </c>
      <c r="X3">
        <v>0.49707271826460753</v>
      </c>
      <c r="Y3">
        <v>0.54463814652891485</v>
      </c>
      <c r="Z3">
        <v>0.34871354144153299</v>
      </c>
      <c r="AA3">
        <v>0.20725825140187598</v>
      </c>
      <c r="AB3">
        <v>0.31258178519035434</v>
      </c>
      <c r="AC3" t="s">
        <v>240</v>
      </c>
    </row>
    <row r="4" spans="1:37" x14ac:dyDescent="0.35">
      <c r="A4" t="s">
        <v>4</v>
      </c>
      <c r="B4" t="s">
        <v>50</v>
      </c>
      <c r="C4" t="s">
        <v>244</v>
      </c>
      <c r="D4">
        <v>321331.00000000012</v>
      </c>
      <c r="E4">
        <v>6155264</v>
      </c>
      <c r="F4">
        <v>1</v>
      </c>
      <c r="G4" t="s">
        <v>225</v>
      </c>
      <c r="H4" t="s">
        <v>97</v>
      </c>
      <c r="I4" t="s">
        <v>105</v>
      </c>
      <c r="J4" s="3">
        <v>6.39</v>
      </c>
      <c r="K4" s="3">
        <v>5.178344483088523</v>
      </c>
      <c r="L4" s="3">
        <v>0.20988858310603398</v>
      </c>
      <c r="M4" s="3">
        <v>2.9786815508446223</v>
      </c>
      <c r="N4" s="3">
        <v>14.252261809473817</v>
      </c>
      <c r="O4" s="3">
        <v>0.10455035800000001</v>
      </c>
      <c r="P4">
        <v>0.20875000000000005</v>
      </c>
      <c r="Q4">
        <f t="shared" si="0"/>
        <v>4.5861147819008803</v>
      </c>
      <c r="R4">
        <v>0.44075000000000003</v>
      </c>
      <c r="S4">
        <f t="shared" si="1"/>
        <v>0.64950000000000008</v>
      </c>
      <c r="T4">
        <v>0.35049999999999998</v>
      </c>
      <c r="U4">
        <v>8864373483.9869823</v>
      </c>
      <c r="V4">
        <v>31646061.508622319</v>
      </c>
      <c r="W4">
        <f t="shared" si="2"/>
        <v>3.5700279964274114E-3</v>
      </c>
      <c r="X4">
        <v>0.26025016294386727</v>
      </c>
      <c r="Y4">
        <v>0.27363232818160449</v>
      </c>
      <c r="Z4">
        <v>0.38919906392156089</v>
      </c>
      <c r="AA4">
        <v>0.43633473564233372</v>
      </c>
      <c r="AB4">
        <v>0.36792466988972189</v>
      </c>
      <c r="AC4" t="s">
        <v>241</v>
      </c>
    </row>
    <row r="5" spans="1:37" x14ac:dyDescent="0.35">
      <c r="A5" t="s">
        <v>3</v>
      </c>
      <c r="B5" t="s">
        <v>49</v>
      </c>
      <c r="C5" t="s">
        <v>244</v>
      </c>
      <c r="D5">
        <v>321331.00000000012</v>
      </c>
      <c r="E5">
        <v>6155264</v>
      </c>
      <c r="F5">
        <v>1</v>
      </c>
      <c r="G5" t="s">
        <v>225</v>
      </c>
      <c r="H5" t="s">
        <v>97</v>
      </c>
      <c r="I5" t="s">
        <v>106</v>
      </c>
      <c r="J5" s="3">
        <v>6.53</v>
      </c>
      <c r="K5" s="3">
        <v>1.8891714388195453</v>
      </c>
      <c r="L5" s="3">
        <v>0.18916701205855091</v>
      </c>
      <c r="M5" s="3">
        <v>2.8436229263340151</v>
      </c>
      <c r="N5" s="3">
        <v>15.026570806016014</v>
      </c>
      <c r="O5" s="3">
        <v>5.3431254599999999E-2</v>
      </c>
      <c r="P5">
        <v>0.24187500000000001</v>
      </c>
      <c r="Q5">
        <f t="shared" si="0"/>
        <v>4.1137402189280508</v>
      </c>
      <c r="R5">
        <v>0.44937500000000002</v>
      </c>
      <c r="S5">
        <f t="shared" si="1"/>
        <v>0.69125000000000003</v>
      </c>
      <c r="T5">
        <v>0.30875000000000002</v>
      </c>
      <c r="U5">
        <v>7181372963.5203066</v>
      </c>
      <c r="V5">
        <v>12229545.525326781</v>
      </c>
      <c r="W5">
        <f t="shared" si="2"/>
        <v>1.7029536813433878E-3</v>
      </c>
      <c r="X5">
        <v>0.26025016294386727</v>
      </c>
      <c r="Y5">
        <v>0.27363232818160449</v>
      </c>
      <c r="Z5">
        <v>0.38919906392156089</v>
      </c>
      <c r="AA5">
        <v>0.43633473564233372</v>
      </c>
      <c r="AB5">
        <v>0.36792466988972189</v>
      </c>
      <c r="AC5" t="s">
        <v>241</v>
      </c>
    </row>
    <row r="6" spans="1:37" x14ac:dyDescent="0.35">
      <c r="A6" t="s">
        <v>6</v>
      </c>
      <c r="B6" t="s">
        <v>52</v>
      </c>
      <c r="C6" t="s">
        <v>245</v>
      </c>
      <c r="D6">
        <v>328312</v>
      </c>
      <c r="E6">
        <v>6156782</v>
      </c>
      <c r="F6">
        <v>1</v>
      </c>
      <c r="G6" t="s">
        <v>225</v>
      </c>
      <c r="H6" t="s">
        <v>97</v>
      </c>
      <c r="I6" t="s">
        <v>107</v>
      </c>
      <c r="J6" s="3">
        <v>5.63</v>
      </c>
      <c r="K6" s="3">
        <v>2.7876315524590298</v>
      </c>
      <c r="L6" s="3">
        <v>0.40171588791964208</v>
      </c>
      <c r="M6" s="3">
        <v>4.4646597410698998</v>
      </c>
      <c r="N6" s="3">
        <v>11.118311989210497</v>
      </c>
      <c r="O6" s="3">
        <v>5.0302490999999991E-2</v>
      </c>
      <c r="P6">
        <v>0.11687500000000001</v>
      </c>
      <c r="Q6">
        <f t="shared" si="0"/>
        <v>10.725909287855613</v>
      </c>
      <c r="R6">
        <v>0.29937500000000006</v>
      </c>
      <c r="S6">
        <f t="shared" si="1"/>
        <v>0.41625000000000006</v>
      </c>
      <c r="T6">
        <v>0.58374999999999988</v>
      </c>
      <c r="U6">
        <v>17020169886.246632</v>
      </c>
      <c r="V6">
        <v>199179156.43487698</v>
      </c>
      <c r="W6">
        <f t="shared" si="2"/>
        <v>1.1702536329900343E-2</v>
      </c>
      <c r="X6">
        <v>0.28963016543863113</v>
      </c>
      <c r="Y6">
        <v>0.50947355194859378</v>
      </c>
      <c r="Z6">
        <v>0.58315643879119383</v>
      </c>
      <c r="AA6">
        <v>0.67081834991939548</v>
      </c>
      <c r="AB6">
        <v>0.8159957966131427</v>
      </c>
      <c r="AC6" t="s">
        <v>241</v>
      </c>
    </row>
    <row r="7" spans="1:37" x14ac:dyDescent="0.35">
      <c r="A7" t="s">
        <v>5</v>
      </c>
      <c r="B7" t="s">
        <v>51</v>
      </c>
      <c r="C7" t="s">
        <v>245</v>
      </c>
      <c r="D7">
        <v>328312</v>
      </c>
      <c r="E7">
        <v>6156782</v>
      </c>
      <c r="F7">
        <v>1</v>
      </c>
      <c r="G7" t="s">
        <v>225</v>
      </c>
      <c r="H7" t="s">
        <v>97</v>
      </c>
      <c r="I7" t="s">
        <v>108</v>
      </c>
      <c r="J7" s="3">
        <v>6.12</v>
      </c>
      <c r="K7" s="3">
        <v>2.3546897142384093</v>
      </c>
      <c r="L7" s="3">
        <v>0.31204511730763385</v>
      </c>
      <c r="M7" s="3">
        <v>3.6961915210314169</v>
      </c>
      <c r="N7" s="3">
        <v>11.856324527975637</v>
      </c>
      <c r="O7" s="3">
        <v>4.7481249000000003E-2</v>
      </c>
      <c r="P7">
        <v>0.13375000000000001</v>
      </c>
      <c r="Q7">
        <f t="shared" si="0"/>
        <v>9.1546539220592358</v>
      </c>
      <c r="R7">
        <v>0.27000000000000007</v>
      </c>
      <c r="S7">
        <f t="shared" si="1"/>
        <v>0.40375000000000005</v>
      </c>
      <c r="T7">
        <v>0.59624999999999995</v>
      </c>
      <c r="U7">
        <v>6937727314.2405214</v>
      </c>
      <c r="V7">
        <v>33423358.73325137</v>
      </c>
      <c r="W7">
        <f t="shared" si="2"/>
        <v>4.8176235846926268E-3</v>
      </c>
      <c r="X7">
        <v>0.28963016543863113</v>
      </c>
      <c r="Y7">
        <v>0.50947355194859378</v>
      </c>
      <c r="Z7">
        <v>0.58315643879119383</v>
      </c>
      <c r="AA7">
        <v>0.67081834991939548</v>
      </c>
      <c r="AB7">
        <v>0.8159957966131427</v>
      </c>
      <c r="AC7" t="s">
        <v>241</v>
      </c>
    </row>
    <row r="8" spans="1:37" x14ac:dyDescent="0.35">
      <c r="A8" t="s">
        <v>37</v>
      </c>
      <c r="B8" t="s">
        <v>53</v>
      </c>
      <c r="C8" t="s">
        <v>261</v>
      </c>
      <c r="D8">
        <v>328211.7</v>
      </c>
      <c r="E8">
        <v>6156583.5</v>
      </c>
      <c r="F8">
        <v>1</v>
      </c>
      <c r="G8" t="s">
        <v>43</v>
      </c>
      <c r="H8" t="s">
        <v>97</v>
      </c>
      <c r="I8" t="s">
        <v>43</v>
      </c>
      <c r="J8">
        <v>6.36</v>
      </c>
      <c r="K8" s="3">
        <v>2.5209442693661019</v>
      </c>
      <c r="L8">
        <v>0.28946778966541153</v>
      </c>
      <c r="M8">
        <v>3.7734257591423805</v>
      </c>
      <c r="N8">
        <v>13.039078312192405</v>
      </c>
      <c r="O8" s="3">
        <v>2.58055944E-2</v>
      </c>
      <c r="P8">
        <v>0.10125000000000002</v>
      </c>
      <c r="Q8">
        <f t="shared" si="0"/>
        <v>16.450902492173864</v>
      </c>
      <c r="R8">
        <v>0.12812500000000002</v>
      </c>
      <c r="S8">
        <f t="shared" si="1"/>
        <v>0.22937500000000005</v>
      </c>
      <c r="T8">
        <v>0.770625</v>
      </c>
      <c r="U8">
        <v>8864373483.9869823</v>
      </c>
      <c r="V8">
        <v>25248403.488290917</v>
      </c>
      <c r="W8">
        <f t="shared" si="2"/>
        <v>2.8483009582009164E-3</v>
      </c>
      <c r="X8">
        <v>0.61376512253958515</v>
      </c>
      <c r="Y8">
        <v>0.65756015237669185</v>
      </c>
      <c r="Z8">
        <v>0.68288908606549281</v>
      </c>
      <c r="AA8">
        <v>0.73568576669513164</v>
      </c>
      <c r="AB8">
        <v>0.82890746418839312</v>
      </c>
      <c r="AC8" t="s">
        <v>217</v>
      </c>
    </row>
    <row r="9" spans="1:37" s="1" customFormat="1" x14ac:dyDescent="0.35">
      <c r="A9" s="1" t="s">
        <v>38</v>
      </c>
      <c r="B9" s="1" t="s">
        <v>54</v>
      </c>
      <c r="C9" s="5" t="s">
        <v>261</v>
      </c>
      <c r="D9">
        <v>328211.7</v>
      </c>
      <c r="E9">
        <v>6156583.5</v>
      </c>
      <c r="F9" s="1">
        <v>1</v>
      </c>
      <c r="G9" t="s">
        <v>43</v>
      </c>
      <c r="H9" s="1" t="s">
        <v>97</v>
      </c>
      <c r="I9" s="1" t="s">
        <v>43</v>
      </c>
      <c r="J9" s="1">
        <v>6.2</v>
      </c>
      <c r="K9" s="2">
        <v>2.7313443362436645</v>
      </c>
      <c r="L9" s="1">
        <v>0.3660828893299275</v>
      </c>
      <c r="M9" s="1">
        <v>6.1762809667942182</v>
      </c>
      <c r="N9" s="1">
        <v>16.853924061010737</v>
      </c>
      <c r="O9" s="2">
        <v>4.28136634E-2</v>
      </c>
      <c r="P9">
        <v>7.6250000000000012E-2</v>
      </c>
      <c r="Q9">
        <f t="shared" si="0"/>
        <v>47.739369791646126</v>
      </c>
      <c r="R9">
        <v>5.3125000000000006E-2</v>
      </c>
      <c r="S9">
        <f t="shared" si="1"/>
        <v>0.12937500000000002</v>
      </c>
      <c r="T9">
        <v>0.87062499999999998</v>
      </c>
      <c r="U9" s="1">
        <v>7281210469.2487411</v>
      </c>
      <c r="V9" s="1">
        <v>62086171.10979151</v>
      </c>
      <c r="W9">
        <f t="shared" si="2"/>
        <v>8.5269024116257173E-3</v>
      </c>
      <c r="X9">
        <v>0.61376512253958515</v>
      </c>
      <c r="Y9">
        <v>0.65756015237669185</v>
      </c>
      <c r="Z9">
        <v>0.68288908606549281</v>
      </c>
      <c r="AA9">
        <v>0.73568576669513164</v>
      </c>
      <c r="AB9">
        <v>0.82890746418839312</v>
      </c>
      <c r="AC9" t="s">
        <v>217</v>
      </c>
    </row>
    <row r="10" spans="1:37" x14ac:dyDescent="0.35">
      <c r="A10" t="s">
        <v>8</v>
      </c>
      <c r="B10" t="s">
        <v>56</v>
      </c>
      <c r="C10" s="5" t="s">
        <v>246</v>
      </c>
      <c r="D10">
        <v>314903.59999999998</v>
      </c>
      <c r="E10">
        <v>6129147.5</v>
      </c>
      <c r="F10">
        <v>2</v>
      </c>
      <c r="G10" t="s">
        <v>225</v>
      </c>
      <c r="H10" t="s">
        <v>97</v>
      </c>
      <c r="I10" t="s">
        <v>103</v>
      </c>
      <c r="J10" s="3">
        <v>6.3</v>
      </c>
      <c r="K10" s="3">
        <v>3.8833570988985811</v>
      </c>
      <c r="L10" s="3">
        <v>0.46702807845935829</v>
      </c>
      <c r="M10" s="3">
        <v>5.8471880111174617</v>
      </c>
      <c r="N10" s="3">
        <v>12.519181630411577</v>
      </c>
      <c r="O10" s="3">
        <v>0.10462040040000001</v>
      </c>
      <c r="P10">
        <v>0.19187499999999999</v>
      </c>
      <c r="Q10">
        <f t="shared" si="0"/>
        <v>17.134616882395488</v>
      </c>
      <c r="R10">
        <v>0.14937500000000006</v>
      </c>
      <c r="S10">
        <f t="shared" si="1"/>
        <v>0.34125000000000005</v>
      </c>
      <c r="T10">
        <v>0.65874999999999995</v>
      </c>
      <c r="U10">
        <v>10247245064.795969</v>
      </c>
      <c r="V10">
        <v>22064743.338389277</v>
      </c>
      <c r="W10">
        <f t="shared" si="2"/>
        <v>2.1532366210496798E-3</v>
      </c>
      <c r="X10">
        <v>0.55592821621999045</v>
      </c>
      <c r="Y10">
        <v>0.49185376030031985</v>
      </c>
      <c r="Z10">
        <v>0.40011498835269749</v>
      </c>
      <c r="AA10">
        <v>0.27827923489731715</v>
      </c>
      <c r="AB10">
        <v>0.27187198793071909</v>
      </c>
      <c r="AC10" t="s">
        <v>240</v>
      </c>
    </row>
    <row r="11" spans="1:37" x14ac:dyDescent="0.35">
      <c r="A11" t="s">
        <v>7</v>
      </c>
      <c r="B11" t="s">
        <v>55</v>
      </c>
      <c r="C11" s="5" t="s">
        <v>246</v>
      </c>
      <c r="D11">
        <v>314903.59999999998</v>
      </c>
      <c r="E11">
        <v>6129147.5</v>
      </c>
      <c r="F11">
        <v>2</v>
      </c>
      <c r="G11" t="s">
        <v>225</v>
      </c>
      <c r="H11" t="s">
        <v>97</v>
      </c>
      <c r="I11" t="s">
        <v>104</v>
      </c>
      <c r="J11" s="3">
        <v>6.41</v>
      </c>
      <c r="K11" s="3">
        <v>2.9510055014175203</v>
      </c>
      <c r="L11" s="3">
        <v>0.38870045419834731</v>
      </c>
      <c r="M11" s="3">
        <v>4.5487311465054034</v>
      </c>
      <c r="N11" s="3">
        <v>11.703613469838201</v>
      </c>
      <c r="O11" s="3">
        <v>0.13354144699999998</v>
      </c>
      <c r="P11">
        <v>0.13375000000000001</v>
      </c>
      <c r="Q11">
        <f t="shared" si="0"/>
        <v>13.329615081334513</v>
      </c>
      <c r="R11">
        <v>0.20750000000000007</v>
      </c>
      <c r="S11">
        <f t="shared" si="1"/>
        <v>0.34125000000000005</v>
      </c>
      <c r="T11">
        <v>0.65874999999999995</v>
      </c>
      <c r="U11">
        <v>10071913664.829483</v>
      </c>
      <c r="V11">
        <v>10804915.146820888</v>
      </c>
      <c r="W11">
        <f t="shared" si="2"/>
        <v>1.0727767836762742E-3</v>
      </c>
      <c r="X11">
        <v>0.55592821621999045</v>
      </c>
      <c r="Y11">
        <v>0.49185376030031985</v>
      </c>
      <c r="Z11">
        <v>0.40011498835269749</v>
      </c>
      <c r="AA11">
        <v>0.27827923489731715</v>
      </c>
      <c r="AB11">
        <v>0.27187198793071909</v>
      </c>
      <c r="AC11" t="s">
        <v>240</v>
      </c>
    </row>
    <row r="12" spans="1:37" x14ac:dyDescent="0.35">
      <c r="A12" t="s">
        <v>10</v>
      </c>
      <c r="B12" t="s">
        <v>58</v>
      </c>
      <c r="C12" s="5" t="s">
        <v>247</v>
      </c>
      <c r="D12">
        <v>311324</v>
      </c>
      <c r="E12">
        <v>6124637</v>
      </c>
      <c r="F12">
        <v>2</v>
      </c>
      <c r="G12" t="s">
        <v>225</v>
      </c>
      <c r="H12" t="s">
        <v>97</v>
      </c>
      <c r="I12" t="s">
        <v>105</v>
      </c>
      <c r="J12" s="3">
        <v>6.47</v>
      </c>
      <c r="K12" s="3">
        <v>2.1162244841678803</v>
      </c>
      <c r="L12" s="3">
        <v>0.49438333353783825</v>
      </c>
      <c r="M12" s="3">
        <v>5.245013314518947</v>
      </c>
      <c r="N12" s="3">
        <v>10.623443819084084</v>
      </c>
      <c r="O12" s="3">
        <v>8.2705824399999989E-2</v>
      </c>
      <c r="P12">
        <v>0.14625000000000002</v>
      </c>
      <c r="Q12">
        <f t="shared" si="0"/>
        <v>11.448869445061822</v>
      </c>
      <c r="R12">
        <v>0.31187500000000001</v>
      </c>
      <c r="S12">
        <f t="shared" si="1"/>
        <v>0.458125</v>
      </c>
      <c r="T12">
        <v>0.541875</v>
      </c>
      <c r="U12">
        <v>7433575190.4406109</v>
      </c>
      <c r="V12">
        <v>25618991.79341317</v>
      </c>
      <c r="W12">
        <f t="shared" si="2"/>
        <v>3.4463890035522264E-3</v>
      </c>
      <c r="X12">
        <v>0.31337608294794195</v>
      </c>
      <c r="Y12">
        <v>0.25145027478255194</v>
      </c>
      <c r="Z12">
        <v>0.45285291789002369</v>
      </c>
      <c r="AA12">
        <v>0.41435543800134295</v>
      </c>
      <c r="AB12">
        <v>0.41958575326236969</v>
      </c>
      <c r="AC12" t="s">
        <v>241</v>
      </c>
    </row>
    <row r="13" spans="1:37" x14ac:dyDescent="0.35">
      <c r="A13" t="s">
        <v>9</v>
      </c>
      <c r="B13" t="s">
        <v>57</v>
      </c>
      <c r="C13" s="5" t="s">
        <v>247</v>
      </c>
      <c r="D13">
        <v>311324</v>
      </c>
      <c r="E13">
        <v>6124637</v>
      </c>
      <c r="F13">
        <v>2</v>
      </c>
      <c r="G13" t="s">
        <v>225</v>
      </c>
      <c r="H13" t="s">
        <v>97</v>
      </c>
      <c r="I13" t="s">
        <v>106</v>
      </c>
      <c r="J13" s="3">
        <v>6.12</v>
      </c>
      <c r="K13" s="3">
        <v>3.1173519872540298</v>
      </c>
      <c r="L13" s="3">
        <v>0.31876167887687845</v>
      </c>
      <c r="M13" s="3">
        <v>4.1784685791476246</v>
      </c>
      <c r="N13" s="3">
        <v>13.10566902098696</v>
      </c>
      <c r="O13" s="3">
        <v>5.6620836200000003E-2</v>
      </c>
      <c r="P13">
        <v>0.18375000000000002</v>
      </c>
      <c r="Q13">
        <f t="shared" si="0"/>
        <v>7.5972155984502256</v>
      </c>
      <c r="R13">
        <v>0.36625000000000002</v>
      </c>
      <c r="S13">
        <f t="shared" si="1"/>
        <v>0.55000000000000004</v>
      </c>
      <c r="T13">
        <v>0.44999999999999996</v>
      </c>
      <c r="U13">
        <v>11404517532.550751</v>
      </c>
      <c r="V13">
        <v>35172115.002442613</v>
      </c>
      <c r="W13">
        <f t="shared" si="2"/>
        <v>3.0840511141356428E-3</v>
      </c>
      <c r="X13">
        <v>0.31337608294794195</v>
      </c>
      <c r="Y13">
        <v>0.25145027478255194</v>
      </c>
      <c r="Z13">
        <v>0.45285291789002369</v>
      </c>
      <c r="AA13">
        <v>0.41435543800134295</v>
      </c>
      <c r="AB13">
        <v>0.41958575326236969</v>
      </c>
      <c r="AC13" t="s">
        <v>241</v>
      </c>
    </row>
    <row r="14" spans="1:37" x14ac:dyDescent="0.35">
      <c r="A14" t="s">
        <v>12</v>
      </c>
      <c r="B14" t="s">
        <v>60</v>
      </c>
      <c r="C14" s="5" t="s">
        <v>248</v>
      </c>
      <c r="D14">
        <v>323050</v>
      </c>
      <c r="E14">
        <v>6124499</v>
      </c>
      <c r="F14">
        <v>2</v>
      </c>
      <c r="G14" t="s">
        <v>225</v>
      </c>
      <c r="H14" t="s">
        <v>97</v>
      </c>
      <c r="I14" t="s">
        <v>107</v>
      </c>
      <c r="J14" s="3">
        <v>6.11</v>
      </c>
      <c r="K14" s="3">
        <v>2.8138146684475869</v>
      </c>
      <c r="L14" s="3">
        <v>0.38507169782277789</v>
      </c>
      <c r="M14" s="3">
        <v>4.545403661521088</v>
      </c>
      <c r="N14" s="3">
        <v>11.797050768643699</v>
      </c>
      <c r="O14" s="3">
        <v>0.12929825480000001</v>
      </c>
      <c r="P14">
        <v>0.18375000000000002</v>
      </c>
      <c r="Q14">
        <f t="shared" si="0"/>
        <v>7.9656581143852589</v>
      </c>
      <c r="R14">
        <v>0.38687499999999986</v>
      </c>
      <c r="S14">
        <f t="shared" si="1"/>
        <v>0.57062499999999994</v>
      </c>
      <c r="T14">
        <v>0.42937500000000006</v>
      </c>
      <c r="U14">
        <v>7721239444.456234</v>
      </c>
      <c r="V14">
        <v>15610118.67599568</v>
      </c>
      <c r="W14">
        <f t="shared" si="2"/>
        <v>2.021711512547843E-3</v>
      </c>
      <c r="X14">
        <v>0.38477299041896618</v>
      </c>
      <c r="Y14">
        <v>0.60726670652862591</v>
      </c>
      <c r="Z14">
        <v>0.66616978671903515</v>
      </c>
      <c r="AA14">
        <v>0.80027370739079839</v>
      </c>
      <c r="AB14">
        <v>0.85934985775928396</v>
      </c>
      <c r="AC14" t="s">
        <v>241</v>
      </c>
    </row>
    <row r="15" spans="1:37" x14ac:dyDescent="0.35">
      <c r="A15" t="s">
        <v>11</v>
      </c>
      <c r="B15" t="s">
        <v>59</v>
      </c>
      <c r="C15" s="5" t="s">
        <v>248</v>
      </c>
      <c r="D15">
        <v>323050</v>
      </c>
      <c r="E15">
        <v>6124499</v>
      </c>
      <c r="F15">
        <v>2</v>
      </c>
      <c r="G15" t="s">
        <v>225</v>
      </c>
      <c r="H15" t="s">
        <v>97</v>
      </c>
      <c r="I15" t="s">
        <v>108</v>
      </c>
      <c r="J15" s="3">
        <v>6.41</v>
      </c>
      <c r="K15" s="3">
        <v>2.1821470790115391</v>
      </c>
      <c r="L15" s="3">
        <v>0.23443124118072217</v>
      </c>
      <c r="M15" s="3">
        <v>3.131276449347753</v>
      </c>
      <c r="N15" s="3">
        <v>13.375990768723835</v>
      </c>
      <c r="O15" s="3">
        <v>7.3112252799999999E-2</v>
      </c>
      <c r="P15">
        <v>0.17937500000000001</v>
      </c>
      <c r="Q15">
        <f t="shared" si="0"/>
        <v>6.0654265362668323</v>
      </c>
      <c r="R15">
        <v>0.33687500000000009</v>
      </c>
      <c r="S15">
        <f t="shared" si="1"/>
        <v>0.5162500000000001</v>
      </c>
      <c r="T15">
        <v>0.4837499999999999</v>
      </c>
      <c r="U15">
        <v>7964861922.2191505</v>
      </c>
      <c r="V15">
        <v>23560005.467045054</v>
      </c>
      <c r="W15">
        <f t="shared" si="2"/>
        <v>2.9579929567041161E-3</v>
      </c>
      <c r="X15">
        <v>0.38477299041896618</v>
      </c>
      <c r="Y15">
        <v>0.60726670652862591</v>
      </c>
      <c r="Z15">
        <v>0.66616978671903515</v>
      </c>
      <c r="AA15">
        <v>0.80027370739079839</v>
      </c>
      <c r="AB15">
        <v>0.85934985775928396</v>
      </c>
      <c r="AC15" t="s">
        <v>241</v>
      </c>
    </row>
    <row r="16" spans="1:37" x14ac:dyDescent="0.35">
      <c r="A16" t="s">
        <v>39</v>
      </c>
      <c r="B16" t="s">
        <v>98</v>
      </c>
      <c r="C16" s="5" t="s">
        <v>262</v>
      </c>
      <c r="D16">
        <v>323150</v>
      </c>
      <c r="E16">
        <v>6124539</v>
      </c>
      <c r="F16">
        <v>2</v>
      </c>
      <c r="G16" t="s">
        <v>43</v>
      </c>
      <c r="H16" t="s">
        <v>97</v>
      </c>
      <c r="I16" t="s">
        <v>43</v>
      </c>
      <c r="J16">
        <v>6.77</v>
      </c>
      <c r="K16" s="3">
        <v>5.9192786892370091</v>
      </c>
      <c r="L16">
        <v>0.88358449656983606</v>
      </c>
      <c r="M16">
        <v>9.2809313711594861</v>
      </c>
      <c r="N16">
        <v>10.391614311534886</v>
      </c>
      <c r="O16" s="3">
        <v>6.4450351200000006E-2</v>
      </c>
      <c r="P16">
        <v>0.17624999999999999</v>
      </c>
      <c r="Q16">
        <f t="shared" si="0"/>
        <v>26.516946774741392</v>
      </c>
      <c r="R16">
        <v>0.17374999999999999</v>
      </c>
      <c r="S16">
        <f t="shared" si="1"/>
        <v>0.35</v>
      </c>
      <c r="T16">
        <v>0.65</v>
      </c>
      <c r="U16">
        <v>1305235326.215214</v>
      </c>
      <c r="V16">
        <v>130203.06341608027</v>
      </c>
      <c r="W16">
        <f t="shared" si="2"/>
        <v>9.9754474002500073E-5</v>
      </c>
      <c r="X16">
        <v>0.84937810029282701</v>
      </c>
      <c r="Y16">
        <v>0.77656516710156298</v>
      </c>
      <c r="Z16">
        <v>0.73903606228102603</v>
      </c>
      <c r="AA16">
        <v>0.82561945038806894</v>
      </c>
      <c r="AB16">
        <v>0.86005905218570144</v>
      </c>
      <c r="AC16" t="s">
        <v>217</v>
      </c>
    </row>
    <row r="17" spans="1:29" s="1" customFormat="1" x14ac:dyDescent="0.35">
      <c r="A17" s="1" t="s">
        <v>40</v>
      </c>
      <c r="B17" s="1" t="s">
        <v>61</v>
      </c>
      <c r="C17" s="5" t="s">
        <v>262</v>
      </c>
      <c r="D17">
        <v>323150</v>
      </c>
      <c r="E17">
        <v>6124539</v>
      </c>
      <c r="F17" s="1">
        <v>2</v>
      </c>
      <c r="G17" t="s">
        <v>43</v>
      </c>
      <c r="H17" s="1" t="s">
        <v>97</v>
      </c>
      <c r="I17" s="1" t="s">
        <v>43</v>
      </c>
      <c r="J17" s="1">
        <v>6.89</v>
      </c>
      <c r="K17" s="2">
        <v>5.4279648816891166</v>
      </c>
      <c r="L17" s="1">
        <v>0.62720571488319909</v>
      </c>
      <c r="M17" s="1">
        <v>9.2461606961843614</v>
      </c>
      <c r="N17" s="1">
        <v>14.721075827777327</v>
      </c>
      <c r="O17" s="2">
        <v>8.3125320799999999E-2</v>
      </c>
      <c r="P17">
        <v>0.15125000000000002</v>
      </c>
      <c r="Q17">
        <f t="shared" si="0"/>
        <v>26.417601989098173</v>
      </c>
      <c r="R17">
        <v>0.19875000000000001</v>
      </c>
      <c r="S17">
        <f t="shared" si="1"/>
        <v>0.35000000000000003</v>
      </c>
      <c r="T17">
        <v>0.65</v>
      </c>
      <c r="U17" s="1">
        <v>2837720299.8888659</v>
      </c>
      <c r="V17" s="1">
        <v>25363768.929200798</v>
      </c>
      <c r="W17">
        <f t="shared" si="2"/>
        <v>8.9380792498098289E-3</v>
      </c>
      <c r="X17">
        <v>0.84937810029282701</v>
      </c>
      <c r="Y17">
        <v>0.77656516710156298</v>
      </c>
      <c r="Z17">
        <v>0.73903606228102603</v>
      </c>
      <c r="AA17">
        <v>0.82561945038806894</v>
      </c>
      <c r="AB17">
        <v>0.86005905218570144</v>
      </c>
      <c r="AC17" t="s">
        <v>217</v>
      </c>
    </row>
    <row r="18" spans="1:29" x14ac:dyDescent="0.35">
      <c r="A18" t="s">
        <v>14</v>
      </c>
      <c r="B18" t="s">
        <v>63</v>
      </c>
      <c r="C18" s="5" t="s">
        <v>249</v>
      </c>
      <c r="D18">
        <v>303660</v>
      </c>
      <c r="E18">
        <v>6110061</v>
      </c>
      <c r="F18">
        <v>3</v>
      </c>
      <c r="G18" t="s">
        <v>225</v>
      </c>
      <c r="H18" t="s">
        <v>97</v>
      </c>
      <c r="I18" t="s">
        <v>103</v>
      </c>
      <c r="J18" s="3">
        <v>6.48</v>
      </c>
      <c r="K18" s="3">
        <v>4.4506063985230089</v>
      </c>
      <c r="L18" s="3">
        <v>0.53154328241584137</v>
      </c>
      <c r="M18" s="3">
        <v>6.0658846365849497</v>
      </c>
      <c r="N18" s="3">
        <v>11.409858054973462</v>
      </c>
      <c r="O18" s="3">
        <v>0.10978008040000001</v>
      </c>
      <c r="P18">
        <v>0.20437500000000003</v>
      </c>
      <c r="Q18">
        <f t="shared" si="0"/>
        <v>11.207177157662725</v>
      </c>
      <c r="R18">
        <v>0.33687499999999998</v>
      </c>
      <c r="S18">
        <f t="shared" si="1"/>
        <v>0.54125000000000001</v>
      </c>
      <c r="T18">
        <v>0.45874999999999999</v>
      </c>
      <c r="U18">
        <v>14077238896.620539</v>
      </c>
      <c r="V18">
        <v>98608068.89374353</v>
      </c>
      <c r="W18">
        <f t="shared" si="2"/>
        <v>7.004787630436245E-3</v>
      </c>
      <c r="X18">
        <v>9.6989022320201013E-2</v>
      </c>
      <c r="Y18">
        <v>0.16028517746392404</v>
      </c>
      <c r="Z18">
        <v>0.2488404443862938</v>
      </c>
      <c r="AA18">
        <v>0.22014852855277478</v>
      </c>
      <c r="AB18">
        <v>0.37737261660747473</v>
      </c>
      <c r="AC18" t="s">
        <v>240</v>
      </c>
    </row>
    <row r="19" spans="1:29" x14ac:dyDescent="0.35">
      <c r="A19" t="s">
        <v>13</v>
      </c>
      <c r="B19" t="s">
        <v>62</v>
      </c>
      <c r="C19" s="5" t="s">
        <v>249</v>
      </c>
      <c r="D19">
        <v>303660</v>
      </c>
      <c r="E19">
        <v>6110061</v>
      </c>
      <c r="F19">
        <v>3</v>
      </c>
      <c r="G19" t="s">
        <v>225</v>
      </c>
      <c r="H19" t="s">
        <v>97</v>
      </c>
      <c r="I19" t="s">
        <v>104</v>
      </c>
      <c r="J19" s="3">
        <v>6.99</v>
      </c>
      <c r="K19" s="3">
        <v>2.6834391049287047</v>
      </c>
      <c r="L19" s="3">
        <v>0.35216095359449812</v>
      </c>
      <c r="M19" s="3">
        <v>4.1325344579699124</v>
      </c>
      <c r="N19" s="3">
        <v>11.739284943351628</v>
      </c>
      <c r="O19" s="3">
        <v>0.10080221519999999</v>
      </c>
      <c r="P19">
        <v>0.20875000000000005</v>
      </c>
      <c r="Q19">
        <f t="shared" si="0"/>
        <v>8.9352096388538644</v>
      </c>
      <c r="R19">
        <v>0.25374999999999998</v>
      </c>
      <c r="S19">
        <f t="shared" si="1"/>
        <v>0.46250000000000002</v>
      </c>
      <c r="T19">
        <v>0.53749999999999998</v>
      </c>
      <c r="U19">
        <v>10717523780.094212</v>
      </c>
      <c r="V19">
        <v>201367775.83809498</v>
      </c>
      <c r="W19">
        <f t="shared" si="2"/>
        <v>1.8788647449712016E-2</v>
      </c>
      <c r="X19">
        <v>9.6989022320201013E-2</v>
      </c>
      <c r="Y19">
        <v>0.16028517746392404</v>
      </c>
      <c r="Z19">
        <v>0.2488404443862938</v>
      </c>
      <c r="AA19">
        <v>0.22014852855277478</v>
      </c>
      <c r="AB19">
        <v>0.37737261660747473</v>
      </c>
      <c r="AC19" t="s">
        <v>240</v>
      </c>
    </row>
    <row r="20" spans="1:29" x14ac:dyDescent="0.35">
      <c r="A20" t="s">
        <v>16</v>
      </c>
      <c r="B20" t="s">
        <v>65</v>
      </c>
      <c r="C20" s="5" t="s">
        <v>250</v>
      </c>
      <c r="D20">
        <v>305744</v>
      </c>
      <c r="E20">
        <v>6115148</v>
      </c>
      <c r="F20">
        <v>3</v>
      </c>
      <c r="G20" t="s">
        <v>225</v>
      </c>
      <c r="H20" t="s">
        <v>97</v>
      </c>
      <c r="I20" t="s">
        <v>105</v>
      </c>
      <c r="J20" s="3">
        <v>6.8</v>
      </c>
      <c r="K20" s="3">
        <v>4.2372302820633738</v>
      </c>
      <c r="L20" s="3">
        <v>0.63322059123927654</v>
      </c>
      <c r="M20" s="3">
        <v>7.1511490834135216</v>
      </c>
      <c r="N20" s="3">
        <v>11.277532853700025</v>
      </c>
      <c r="O20" s="3">
        <v>0.15252676700000001</v>
      </c>
      <c r="P20">
        <v>0.12125000000000002</v>
      </c>
      <c r="Q20">
        <f t="shared" si="0"/>
        <v>16.82623313744358</v>
      </c>
      <c r="R20">
        <v>0.30375000000000002</v>
      </c>
      <c r="S20">
        <f t="shared" si="1"/>
        <v>0.42500000000000004</v>
      </c>
      <c r="T20">
        <v>0.57499999999999996</v>
      </c>
      <c r="U20">
        <v>5562622465.9613266</v>
      </c>
      <c r="V20">
        <v>8652022.5536318421</v>
      </c>
      <c r="W20">
        <f t="shared" si="2"/>
        <v>1.5553855410060816E-3</v>
      </c>
      <c r="X20">
        <v>0.1724284653457594</v>
      </c>
      <c r="Y20">
        <v>0.22758520751664488</v>
      </c>
      <c r="Z20">
        <v>0.27100817002074939</v>
      </c>
      <c r="AA20">
        <v>0.36648449590827648</v>
      </c>
      <c r="AB20">
        <v>0.33946333519127536</v>
      </c>
      <c r="AC20" t="s">
        <v>240</v>
      </c>
    </row>
    <row r="21" spans="1:29" x14ac:dyDescent="0.35">
      <c r="A21" t="s">
        <v>15</v>
      </c>
      <c r="B21" t="s">
        <v>64</v>
      </c>
      <c r="C21" s="5" t="s">
        <v>250</v>
      </c>
      <c r="D21">
        <v>305744</v>
      </c>
      <c r="E21">
        <v>6115148</v>
      </c>
      <c r="F21">
        <v>3</v>
      </c>
      <c r="G21" t="s">
        <v>225</v>
      </c>
      <c r="H21" t="s">
        <v>97</v>
      </c>
      <c r="I21" t="s">
        <v>106</v>
      </c>
      <c r="J21" s="3">
        <v>6.92</v>
      </c>
      <c r="K21" s="3">
        <v>3.9883357327502003</v>
      </c>
      <c r="L21" s="3">
        <v>0.58469316082267908</v>
      </c>
      <c r="M21" s="3">
        <v>7.2295150471091434</v>
      </c>
      <c r="N21" s="3">
        <v>12.392247229237434</v>
      </c>
      <c r="O21" s="3">
        <v>0.14155337259999998</v>
      </c>
      <c r="P21">
        <v>0.141875</v>
      </c>
      <c r="Q21">
        <f t="shared" si="0"/>
        <v>17.36820431737932</v>
      </c>
      <c r="R21">
        <v>0.27437500000000009</v>
      </c>
      <c r="S21">
        <f t="shared" si="1"/>
        <v>0.41625000000000012</v>
      </c>
      <c r="T21">
        <v>0.58374999999999988</v>
      </c>
      <c r="U21">
        <v>8803391067.9658337</v>
      </c>
      <c r="V21">
        <v>10418401.234945837</v>
      </c>
      <c r="W21">
        <f t="shared" si="2"/>
        <v>1.1834531891757908E-3</v>
      </c>
      <c r="X21">
        <v>0.1724284653457594</v>
      </c>
      <c r="Y21">
        <v>0.22758520751664488</v>
      </c>
      <c r="Z21">
        <v>0.27100817002074939</v>
      </c>
      <c r="AA21">
        <v>0.36648449590827648</v>
      </c>
      <c r="AB21">
        <v>0.33946333519127536</v>
      </c>
      <c r="AC21" t="s">
        <v>240</v>
      </c>
    </row>
    <row r="22" spans="1:29" x14ac:dyDescent="0.35">
      <c r="A22" t="s">
        <v>18</v>
      </c>
      <c r="B22" t="s">
        <v>67</v>
      </c>
      <c r="C22" s="5" t="s">
        <v>251</v>
      </c>
      <c r="D22">
        <v>313940.99999999988</v>
      </c>
      <c r="E22">
        <v>6115867.0999999996</v>
      </c>
      <c r="F22">
        <v>3</v>
      </c>
      <c r="G22" t="s">
        <v>225</v>
      </c>
      <c r="H22" t="s">
        <v>97</v>
      </c>
      <c r="I22" t="s">
        <v>107</v>
      </c>
      <c r="J22" s="3">
        <v>6.62</v>
      </c>
      <c r="K22" s="3">
        <v>3.5403236256893735</v>
      </c>
      <c r="L22" s="3">
        <v>0.4268634471860448</v>
      </c>
      <c r="M22" s="3">
        <v>5.5636231910548428</v>
      </c>
      <c r="N22" s="3">
        <v>13.057586555364887</v>
      </c>
      <c r="O22" s="3">
        <v>5.6426840200000009E-2</v>
      </c>
      <c r="P22">
        <v>0.17937500000000001</v>
      </c>
      <c r="Q22">
        <f t="shared" si="0"/>
        <v>14.220123172025154</v>
      </c>
      <c r="R22">
        <v>0.21187500000000006</v>
      </c>
      <c r="S22">
        <f t="shared" si="1"/>
        <v>0.3912500000000001</v>
      </c>
      <c r="T22">
        <v>0.6087499999999999</v>
      </c>
      <c r="U22">
        <v>11404517532.550711</v>
      </c>
      <c r="V22">
        <v>37830235.747653477</v>
      </c>
      <c r="W22">
        <f t="shared" si="2"/>
        <v>3.317127238366606E-3</v>
      </c>
      <c r="X22">
        <v>0.17112339481240588</v>
      </c>
      <c r="Y22">
        <v>0.31212472784450168</v>
      </c>
      <c r="Z22">
        <v>0.60044391109857309</v>
      </c>
      <c r="AA22">
        <v>0.72197202186867537</v>
      </c>
      <c r="AB22">
        <v>0.80708938413855669</v>
      </c>
      <c r="AC22" t="s">
        <v>241</v>
      </c>
    </row>
    <row r="23" spans="1:29" x14ac:dyDescent="0.35">
      <c r="A23" t="s">
        <v>17</v>
      </c>
      <c r="B23" t="s">
        <v>66</v>
      </c>
      <c r="C23" s="5" t="s">
        <v>251</v>
      </c>
      <c r="D23">
        <v>313940.99999999988</v>
      </c>
      <c r="E23">
        <v>6115867.0999999996</v>
      </c>
      <c r="F23">
        <v>3</v>
      </c>
      <c r="G23" t="s">
        <v>225</v>
      </c>
      <c r="H23" t="s">
        <v>97</v>
      </c>
      <c r="I23" t="s">
        <v>108</v>
      </c>
      <c r="J23" s="3">
        <v>6.72</v>
      </c>
      <c r="K23" s="3">
        <v>2.0961671238296593</v>
      </c>
      <c r="L23" s="3">
        <v>0.14251991271795109</v>
      </c>
      <c r="M23" s="3">
        <v>2.2606978494889627</v>
      </c>
      <c r="N23" s="3">
        <v>15.853908798637312</v>
      </c>
      <c r="O23" s="3">
        <v>6.1919176399999998E-2</v>
      </c>
      <c r="P23">
        <v>0.22125000000000003</v>
      </c>
      <c r="Q23">
        <f t="shared" si="0"/>
        <v>3.7678297491482713</v>
      </c>
      <c r="R23">
        <v>0.37874999999999998</v>
      </c>
      <c r="S23">
        <f t="shared" si="1"/>
        <v>0.6</v>
      </c>
      <c r="T23">
        <v>0.4</v>
      </c>
      <c r="U23">
        <v>1021546169.1176424</v>
      </c>
      <c r="V23">
        <v>13542757.643678822</v>
      </c>
      <c r="W23">
        <f t="shared" si="2"/>
        <v>1.3257117546998723E-2</v>
      </c>
      <c r="X23">
        <v>0.17112339481240588</v>
      </c>
      <c r="Y23">
        <v>0.31212472784450168</v>
      </c>
      <c r="Z23">
        <v>0.60044391109857309</v>
      </c>
      <c r="AA23">
        <v>0.72197202186867537</v>
      </c>
      <c r="AB23">
        <v>0.80708938413855669</v>
      </c>
      <c r="AC23" t="s">
        <v>241</v>
      </c>
    </row>
    <row r="24" spans="1:29" x14ac:dyDescent="0.35">
      <c r="A24" t="s">
        <v>41</v>
      </c>
      <c r="B24" t="s">
        <v>68</v>
      </c>
      <c r="C24" s="5" t="s">
        <v>263</v>
      </c>
      <c r="D24">
        <v>314062</v>
      </c>
      <c r="E24">
        <v>6115765.0000000009</v>
      </c>
      <c r="F24">
        <v>3</v>
      </c>
      <c r="G24" t="s">
        <v>43</v>
      </c>
      <c r="H24" t="s">
        <v>97</v>
      </c>
      <c r="I24" t="s">
        <v>43</v>
      </c>
      <c r="J24">
        <v>6.21</v>
      </c>
      <c r="K24" s="3">
        <v>6.4101126754540001</v>
      </c>
      <c r="L24">
        <v>0.64455710309094938</v>
      </c>
      <c r="M24">
        <v>14.136195129975885</v>
      </c>
      <c r="N24">
        <v>21.683732835590593</v>
      </c>
      <c r="O24" s="3">
        <v>6.2000625200000006E-2</v>
      </c>
      <c r="P24">
        <v>0.17125000000000001</v>
      </c>
      <c r="Q24">
        <f t="shared" si="0"/>
        <v>36.130850172462317</v>
      </c>
      <c r="R24">
        <v>0.22000000000000008</v>
      </c>
      <c r="S24">
        <f t="shared" si="1"/>
        <v>0.3912500000000001</v>
      </c>
      <c r="T24">
        <v>0.6087499999999999</v>
      </c>
      <c r="U24">
        <v>7882812097.8191614</v>
      </c>
      <c r="V24">
        <v>90024713.891451031</v>
      </c>
      <c r="W24">
        <f t="shared" si="2"/>
        <v>1.1420380541146863E-2</v>
      </c>
      <c r="X24">
        <v>0.84940993128144537</v>
      </c>
      <c r="Y24">
        <v>0.61241028361890704</v>
      </c>
      <c r="Z24">
        <v>0.64829080678959772</v>
      </c>
      <c r="AA24">
        <v>0.73396339190099114</v>
      </c>
      <c r="AB24">
        <v>0.80703213928862538</v>
      </c>
      <c r="AC24" t="s">
        <v>217</v>
      </c>
    </row>
    <row r="25" spans="1:29" s="1" customFormat="1" x14ac:dyDescent="0.35">
      <c r="A25" s="1" t="s">
        <v>42</v>
      </c>
      <c r="B25" s="1" t="s">
        <v>69</v>
      </c>
      <c r="C25" s="5" t="s">
        <v>263</v>
      </c>
      <c r="D25">
        <v>314062</v>
      </c>
      <c r="E25">
        <v>6115765.0000000009</v>
      </c>
      <c r="F25" s="1">
        <v>3</v>
      </c>
      <c r="G25" t="s">
        <v>43</v>
      </c>
      <c r="H25" s="1" t="s">
        <v>97</v>
      </c>
      <c r="I25" s="1" t="s">
        <v>43</v>
      </c>
      <c r="J25" s="1">
        <v>6.14</v>
      </c>
      <c r="K25" s="2">
        <v>6.589594763871629</v>
      </c>
      <c r="L25" s="1">
        <v>0.57952194336030227</v>
      </c>
      <c r="M25" s="1">
        <v>12.777712417155394</v>
      </c>
      <c r="N25" s="1">
        <v>21.90423958071548</v>
      </c>
      <c r="O25" s="2">
        <v>6.6333584400000006E-2</v>
      </c>
      <c r="P25">
        <v>0.22625000000000001</v>
      </c>
      <c r="Q25">
        <f t="shared" si="0"/>
        <v>23.048861180889102</v>
      </c>
      <c r="R25">
        <v>0.32812499999999994</v>
      </c>
      <c r="S25">
        <f t="shared" si="1"/>
        <v>0.55437499999999995</v>
      </c>
      <c r="T25">
        <v>0.44562500000000005</v>
      </c>
      <c r="U25" s="1">
        <v>6519807370.8911896</v>
      </c>
      <c r="V25" s="1">
        <v>76692432.146392107</v>
      </c>
      <c r="W25">
        <f t="shared" si="2"/>
        <v>1.1762990497050383E-2</v>
      </c>
      <c r="X25">
        <v>0.84940993128144537</v>
      </c>
      <c r="Y25">
        <v>0.61241028361890704</v>
      </c>
      <c r="Z25">
        <v>0.64829080678959772</v>
      </c>
      <c r="AA25">
        <v>0.73396339190099114</v>
      </c>
      <c r="AB25">
        <v>0.80703213928862538</v>
      </c>
      <c r="AC25" t="s">
        <v>217</v>
      </c>
    </row>
    <row r="26" spans="1:29" x14ac:dyDescent="0.35">
      <c r="A26" t="s">
        <v>20</v>
      </c>
      <c r="B26" t="s">
        <v>71</v>
      </c>
      <c r="C26" s="5" t="s">
        <v>252</v>
      </c>
      <c r="D26">
        <v>345670</v>
      </c>
      <c r="E26">
        <v>6227606</v>
      </c>
      <c r="F26">
        <v>4</v>
      </c>
      <c r="G26" t="s">
        <v>225</v>
      </c>
      <c r="H26" t="s">
        <v>97</v>
      </c>
      <c r="I26" t="s">
        <v>103</v>
      </c>
      <c r="J26">
        <v>6.62</v>
      </c>
      <c r="K26" s="3">
        <v>2.3907592434426177</v>
      </c>
      <c r="L26">
        <v>0.24062993231890961</v>
      </c>
      <c r="M26">
        <v>3.0107640707107661</v>
      </c>
      <c r="N26">
        <v>12.517742416036736</v>
      </c>
      <c r="O26" s="3">
        <v>0.11196208320000001</v>
      </c>
      <c r="P26">
        <v>0.166875</v>
      </c>
      <c r="Q26">
        <f t="shared" si="0"/>
        <v>8.2205162340225684</v>
      </c>
      <c r="R26">
        <v>0.19937500000000008</v>
      </c>
      <c r="S26">
        <f t="shared" si="1"/>
        <v>0.36625000000000008</v>
      </c>
      <c r="T26">
        <v>0.63374999999999992</v>
      </c>
      <c r="U26">
        <v>13599634122.650957</v>
      </c>
      <c r="V26">
        <v>38666175.398214802</v>
      </c>
      <c r="W26">
        <f t="shared" si="2"/>
        <v>2.8431776215077807E-3</v>
      </c>
      <c r="X26">
        <v>0.9071513446351851</v>
      </c>
      <c r="Y26">
        <v>0.41474836481780647</v>
      </c>
      <c r="Z26">
        <v>0.27627053654083572</v>
      </c>
      <c r="AA26">
        <v>0.22014152573527873</v>
      </c>
      <c r="AB26">
        <v>0.28277351584232335</v>
      </c>
      <c r="AC26" t="s">
        <v>240</v>
      </c>
    </row>
    <row r="27" spans="1:29" x14ac:dyDescent="0.35">
      <c r="A27" t="s">
        <v>19</v>
      </c>
      <c r="B27" t="s">
        <v>70</v>
      </c>
      <c r="C27" s="5" t="s">
        <v>252</v>
      </c>
      <c r="D27">
        <v>345670</v>
      </c>
      <c r="E27">
        <v>6227606</v>
      </c>
      <c r="F27">
        <v>4</v>
      </c>
      <c r="G27" t="s">
        <v>225</v>
      </c>
      <c r="H27" t="s">
        <v>97</v>
      </c>
      <c r="I27" t="s">
        <v>104</v>
      </c>
      <c r="J27">
        <v>7.07</v>
      </c>
      <c r="K27" s="3">
        <v>1.9648121971296952</v>
      </c>
      <c r="L27">
        <v>0.25499701790741253</v>
      </c>
      <c r="M27">
        <v>3.2697563722021727</v>
      </c>
      <c r="N27">
        <v>12.844064721930977</v>
      </c>
      <c r="O27" s="3">
        <v>0.12210326000000001</v>
      </c>
      <c r="P27">
        <v>0.20437500000000003</v>
      </c>
      <c r="Q27">
        <f t="shared" si="0"/>
        <v>6.6559926151698159</v>
      </c>
      <c r="R27">
        <v>0.28687500000000005</v>
      </c>
      <c r="S27">
        <f t="shared" si="1"/>
        <v>0.49125000000000008</v>
      </c>
      <c r="T27">
        <v>0.50874999999999992</v>
      </c>
      <c r="U27">
        <v>5777884651.5243607</v>
      </c>
      <c r="V27">
        <v>222179882.88793901</v>
      </c>
      <c r="W27">
        <f t="shared" si="2"/>
        <v>3.8453499210878504E-2</v>
      </c>
      <c r="X27">
        <v>0.9071513446351851</v>
      </c>
      <c r="Y27">
        <v>0.41474836481780647</v>
      </c>
      <c r="Z27">
        <v>0.27627053654083572</v>
      </c>
      <c r="AA27">
        <v>0.22014152573527873</v>
      </c>
      <c r="AB27">
        <v>0.28277351584232335</v>
      </c>
      <c r="AC27" t="s">
        <v>240</v>
      </c>
    </row>
    <row r="28" spans="1:29" x14ac:dyDescent="0.35">
      <c r="A28" t="s">
        <v>22</v>
      </c>
      <c r="B28" t="s">
        <v>73</v>
      </c>
      <c r="C28" s="5" t="s">
        <v>253</v>
      </c>
      <c r="D28">
        <v>347526</v>
      </c>
      <c r="E28">
        <v>6228850</v>
      </c>
      <c r="F28">
        <v>4</v>
      </c>
      <c r="G28" t="s">
        <v>225</v>
      </c>
      <c r="H28" t="s">
        <v>97</v>
      </c>
      <c r="I28" t="s">
        <v>105</v>
      </c>
      <c r="J28">
        <v>6.75</v>
      </c>
      <c r="K28" s="3">
        <v>3.0471107588654158</v>
      </c>
      <c r="L28">
        <v>0.56773311193534126</v>
      </c>
      <c r="M28">
        <v>5.1248859328160412</v>
      </c>
      <c r="N28">
        <v>9.0301200398489172</v>
      </c>
      <c r="O28" s="3">
        <v>0.64044506459999995</v>
      </c>
      <c r="P28">
        <v>0.25437500000000002</v>
      </c>
      <c r="Q28">
        <f t="shared" si="0"/>
        <v>8.8550944843473705</v>
      </c>
      <c r="R28">
        <v>0.32437500000000008</v>
      </c>
      <c r="S28">
        <f t="shared" si="1"/>
        <v>0.5787500000000001</v>
      </c>
      <c r="T28">
        <v>0.4212499999999999</v>
      </c>
      <c r="U28">
        <v>8216171237.3218708</v>
      </c>
      <c r="V28">
        <v>27355114.784537345</v>
      </c>
      <c r="W28">
        <f t="shared" si="2"/>
        <v>3.3294236444680004E-3</v>
      </c>
      <c r="X28">
        <v>0.30971551925682833</v>
      </c>
      <c r="Y28">
        <v>0.36179217273800313</v>
      </c>
      <c r="Z28">
        <v>0.30406729112651232</v>
      </c>
      <c r="AA28">
        <v>0.37072247373292749</v>
      </c>
      <c r="AB28">
        <v>0.403505603615255</v>
      </c>
      <c r="AC28" t="s">
        <v>241</v>
      </c>
    </row>
    <row r="29" spans="1:29" x14ac:dyDescent="0.35">
      <c r="A29" t="s">
        <v>21</v>
      </c>
      <c r="B29" t="s">
        <v>72</v>
      </c>
      <c r="C29" s="5" t="s">
        <v>253</v>
      </c>
      <c r="D29">
        <v>347526</v>
      </c>
      <c r="E29">
        <v>6228850</v>
      </c>
      <c r="F29">
        <v>4</v>
      </c>
      <c r="G29" t="s">
        <v>225</v>
      </c>
      <c r="H29" t="s">
        <v>97</v>
      </c>
      <c r="I29" t="s">
        <v>106</v>
      </c>
      <c r="J29">
        <v>6.5</v>
      </c>
      <c r="K29" s="3">
        <v>3.5756245879631052</v>
      </c>
      <c r="L29">
        <v>0.63845459844166974</v>
      </c>
      <c r="M29">
        <v>5.7911921352393652</v>
      </c>
      <c r="N29">
        <v>9.0866141153744664</v>
      </c>
      <c r="O29" s="3">
        <v>0.80380987299999995</v>
      </c>
      <c r="P29">
        <v>0.20875000000000005</v>
      </c>
      <c r="Q29">
        <f t="shared" si="0"/>
        <v>10.850008684289207</v>
      </c>
      <c r="R29">
        <v>0.32500000000000001</v>
      </c>
      <c r="S29">
        <f t="shared" si="1"/>
        <v>0.53375000000000006</v>
      </c>
      <c r="T29">
        <v>0.46624999999999994</v>
      </c>
      <c r="U29">
        <v>4600798104.1554089</v>
      </c>
      <c r="V29">
        <v>31877461.08019951</v>
      </c>
      <c r="W29">
        <f t="shared" si="2"/>
        <v>6.9286807111592248E-3</v>
      </c>
      <c r="X29">
        <v>0.30971551925682833</v>
      </c>
      <c r="Y29">
        <v>0.36179217273800313</v>
      </c>
      <c r="Z29">
        <v>0.30406729112651232</v>
      </c>
      <c r="AA29">
        <v>0.37072247373292749</v>
      </c>
      <c r="AB29">
        <v>0.403505603615255</v>
      </c>
      <c r="AC29" t="s">
        <v>241</v>
      </c>
    </row>
    <row r="30" spans="1:29" x14ac:dyDescent="0.35">
      <c r="A30" t="s">
        <v>24</v>
      </c>
      <c r="B30" t="s">
        <v>75</v>
      </c>
      <c r="C30" s="5" t="s">
        <v>254</v>
      </c>
      <c r="D30">
        <v>347526</v>
      </c>
      <c r="E30">
        <v>6228850</v>
      </c>
      <c r="F30">
        <v>4</v>
      </c>
      <c r="G30" t="s">
        <v>225</v>
      </c>
      <c r="H30" t="s">
        <v>97</v>
      </c>
      <c r="I30" t="s">
        <v>107</v>
      </c>
      <c r="J30">
        <v>6.04</v>
      </c>
      <c r="K30" s="3">
        <v>2.8112592569903834</v>
      </c>
      <c r="L30">
        <v>0.37824751438670134</v>
      </c>
      <c r="M30">
        <v>4.3453540303475107</v>
      </c>
      <c r="N30">
        <v>11.49900938487723</v>
      </c>
      <c r="O30" s="3">
        <v>8.1944020199999995E-2</v>
      </c>
      <c r="P30">
        <v>0.15875</v>
      </c>
      <c r="Q30">
        <f t="shared" si="0"/>
        <v>11.213816852509705</v>
      </c>
      <c r="R30">
        <v>0.22875000000000001</v>
      </c>
      <c r="S30">
        <f t="shared" si="1"/>
        <v>0.38750000000000001</v>
      </c>
      <c r="T30">
        <v>0.61250000000000004</v>
      </c>
      <c r="U30">
        <v>13932222574.833183</v>
      </c>
      <c r="V30">
        <v>101894491.71786901</v>
      </c>
      <c r="W30">
        <f t="shared" si="2"/>
        <v>7.3135848333293688E-3</v>
      </c>
      <c r="X30">
        <v>0.30971551925682833</v>
      </c>
      <c r="Y30">
        <v>0.36179217273800313</v>
      </c>
      <c r="Z30">
        <v>0.30406729112651232</v>
      </c>
      <c r="AA30">
        <v>0.37072247373292749</v>
      </c>
      <c r="AB30">
        <v>0.403505603615255</v>
      </c>
      <c r="AC30" t="s">
        <v>241</v>
      </c>
    </row>
    <row r="31" spans="1:29" x14ac:dyDescent="0.35">
      <c r="A31" t="s">
        <v>23</v>
      </c>
      <c r="B31" t="s">
        <v>74</v>
      </c>
      <c r="C31" s="5" t="s">
        <v>254</v>
      </c>
      <c r="D31">
        <v>347526</v>
      </c>
      <c r="E31">
        <v>6228850</v>
      </c>
      <c r="F31">
        <v>4</v>
      </c>
      <c r="G31" t="s">
        <v>225</v>
      </c>
      <c r="H31" t="s">
        <v>97</v>
      </c>
      <c r="I31" t="s">
        <v>108</v>
      </c>
      <c r="J31">
        <v>7.04</v>
      </c>
      <c r="K31" s="3">
        <v>2.2646429333539935</v>
      </c>
      <c r="L31">
        <v>0.23909808081384623</v>
      </c>
      <c r="M31">
        <v>3.1550998065125895</v>
      </c>
      <c r="N31">
        <v>13.229047279834216</v>
      </c>
      <c r="O31" s="3">
        <v>9.8362383800000008E-2</v>
      </c>
      <c r="P31">
        <v>0.19187499999999999</v>
      </c>
      <c r="Q31">
        <f t="shared" si="0"/>
        <v>6.7669700943969744</v>
      </c>
      <c r="R31">
        <v>0.27437500000000009</v>
      </c>
      <c r="S31">
        <f t="shared" si="1"/>
        <v>0.46625000000000005</v>
      </c>
      <c r="T31">
        <v>0.53374999999999995</v>
      </c>
      <c r="U31">
        <v>13459537834.408298</v>
      </c>
      <c r="V31">
        <v>135872301.51640567</v>
      </c>
      <c r="W31">
        <f t="shared" si="2"/>
        <v>1.0094871249520791E-2</v>
      </c>
      <c r="X31">
        <v>0.30971551925682833</v>
      </c>
      <c r="Y31">
        <v>0.36179217273800313</v>
      </c>
      <c r="Z31">
        <v>0.30406729112651232</v>
      </c>
      <c r="AA31">
        <v>0.37072247373292749</v>
      </c>
      <c r="AB31">
        <v>0.403505603615255</v>
      </c>
      <c r="AC31" t="s">
        <v>240</v>
      </c>
    </row>
    <row r="32" spans="1:29" x14ac:dyDescent="0.35">
      <c r="A32" t="s">
        <v>113</v>
      </c>
      <c r="B32" t="s">
        <v>76</v>
      </c>
      <c r="C32" s="5" t="s">
        <v>264</v>
      </c>
      <c r="D32">
        <v>353716</v>
      </c>
      <c r="E32">
        <v>6232513</v>
      </c>
      <c r="F32">
        <v>4</v>
      </c>
      <c r="G32" t="s">
        <v>43</v>
      </c>
      <c r="H32" t="s">
        <v>97</v>
      </c>
      <c r="I32" t="s">
        <v>43</v>
      </c>
      <c r="J32">
        <v>6.29</v>
      </c>
      <c r="K32" s="3">
        <v>1.6975542053219477</v>
      </c>
      <c r="L32">
        <v>0.16784215065318256</v>
      </c>
      <c r="M32">
        <v>3.0341059290553973</v>
      </c>
      <c r="N32">
        <v>18.059572855720518</v>
      </c>
      <c r="O32" s="3">
        <v>3.4001147599999997E-2</v>
      </c>
      <c r="P32">
        <v>0.11687500000000001</v>
      </c>
      <c r="Q32">
        <f t="shared" si="0"/>
        <v>8.8911529056568401</v>
      </c>
      <c r="R32">
        <v>0.22437500000000007</v>
      </c>
      <c r="S32">
        <f t="shared" si="1"/>
        <v>0.34125000000000005</v>
      </c>
      <c r="T32">
        <v>0.65874999999999995</v>
      </c>
      <c r="U32">
        <v>14723288228.064095</v>
      </c>
      <c r="V32">
        <v>174063954.86077309</v>
      </c>
      <c r="W32">
        <f t="shared" si="2"/>
        <v>1.1822355995788316E-2</v>
      </c>
      <c r="X32">
        <v>0.76693583977122526</v>
      </c>
      <c r="Y32">
        <v>0.77889305133303488</v>
      </c>
      <c r="Z32">
        <v>0.80000487304684398</v>
      </c>
      <c r="AA32">
        <v>0.81765088069734393</v>
      </c>
      <c r="AB32">
        <v>0.84521562557317897</v>
      </c>
      <c r="AC32" t="s">
        <v>217</v>
      </c>
    </row>
    <row r="33" spans="1:29" s="1" customFormat="1" x14ac:dyDescent="0.35">
      <c r="A33" s="1" t="s">
        <v>114</v>
      </c>
      <c r="B33" s="1" t="s">
        <v>77</v>
      </c>
      <c r="C33" s="5" t="s">
        <v>264</v>
      </c>
      <c r="D33">
        <v>353716</v>
      </c>
      <c r="E33">
        <v>6232513</v>
      </c>
      <c r="F33">
        <v>4</v>
      </c>
      <c r="G33" t="s">
        <v>43</v>
      </c>
      <c r="H33" s="1" t="s">
        <v>97</v>
      </c>
      <c r="I33" s="1" t="s">
        <v>43</v>
      </c>
      <c r="J33" s="1">
        <v>5.26</v>
      </c>
      <c r="K33" s="2">
        <v>2.8176936786120788</v>
      </c>
      <c r="L33" s="1">
        <v>0.30224018348850101</v>
      </c>
      <c r="M33" s="1">
        <v>4.3739468547383575</v>
      </c>
      <c r="N33" s="1">
        <v>14.491434591327675</v>
      </c>
      <c r="O33" s="2">
        <v>4.1788464999999997E-2</v>
      </c>
      <c r="P33">
        <v>0.10875000000000001</v>
      </c>
      <c r="Q33">
        <f t="shared" si="0"/>
        <v>10.934867136845893</v>
      </c>
      <c r="R33">
        <v>0.29125000000000001</v>
      </c>
      <c r="S33">
        <f t="shared" si="1"/>
        <v>0.4</v>
      </c>
      <c r="T33">
        <v>0.6</v>
      </c>
      <c r="U33" s="1">
        <v>9271187817.7531261</v>
      </c>
      <c r="V33" s="1">
        <v>131011871.41945793</v>
      </c>
      <c r="W33">
        <f t="shared" si="2"/>
        <v>1.4131077268069916E-2</v>
      </c>
      <c r="X33">
        <v>0.76693583977122526</v>
      </c>
      <c r="Y33">
        <v>0.77889305133303488</v>
      </c>
      <c r="Z33">
        <v>0.80000487304684398</v>
      </c>
      <c r="AA33">
        <v>0.81765088069734393</v>
      </c>
      <c r="AB33">
        <v>0.84521562557317897</v>
      </c>
      <c r="AC33" t="s">
        <v>217</v>
      </c>
    </row>
    <row r="34" spans="1:29" x14ac:dyDescent="0.35">
      <c r="A34" t="s">
        <v>26</v>
      </c>
      <c r="B34" t="s">
        <v>79</v>
      </c>
      <c r="C34" s="5" t="s">
        <v>255</v>
      </c>
      <c r="D34">
        <v>322204</v>
      </c>
      <c r="E34">
        <v>6169551.9000000004</v>
      </c>
      <c r="F34">
        <v>5</v>
      </c>
      <c r="G34" t="s">
        <v>225</v>
      </c>
      <c r="H34" t="s">
        <v>97</v>
      </c>
      <c r="I34" t="s">
        <v>103</v>
      </c>
      <c r="J34">
        <v>6.28</v>
      </c>
      <c r="K34" s="3">
        <v>6.2914697852437556</v>
      </c>
      <c r="L34">
        <v>1.0308589815113431</v>
      </c>
      <c r="M34">
        <v>11.755732807131858</v>
      </c>
      <c r="N34">
        <v>11.398981618089799</v>
      </c>
      <c r="O34" s="3">
        <v>0.119336344</v>
      </c>
      <c r="P34">
        <v>0.17937500000000001</v>
      </c>
      <c r="Q34">
        <f t="shared" si="0"/>
        <v>26.641887381601943</v>
      </c>
      <c r="R34">
        <v>0.26187500000000002</v>
      </c>
      <c r="S34">
        <f t="shared" si="1"/>
        <v>0.44125000000000003</v>
      </c>
      <c r="T34">
        <v>0.55874999999999997</v>
      </c>
      <c r="U34">
        <v>3019618297.7140222</v>
      </c>
      <c r="V34">
        <v>60286567.435223103</v>
      </c>
      <c r="W34">
        <f t="shared" si="2"/>
        <v>1.9964962949410713E-2</v>
      </c>
      <c r="X34">
        <v>0</v>
      </c>
      <c r="Y34">
        <v>0.22319526600585063</v>
      </c>
      <c r="Z34">
        <v>0.16963024897294132</v>
      </c>
      <c r="AA34">
        <v>0.17474353314797414</v>
      </c>
      <c r="AB34">
        <v>0.24237454182034887</v>
      </c>
      <c r="AC34" t="s">
        <v>240</v>
      </c>
    </row>
    <row r="35" spans="1:29" x14ac:dyDescent="0.35">
      <c r="A35" t="s">
        <v>25</v>
      </c>
      <c r="B35" t="s">
        <v>78</v>
      </c>
      <c r="C35" s="5" t="s">
        <v>255</v>
      </c>
      <c r="D35">
        <v>322204</v>
      </c>
      <c r="E35">
        <v>6169551.9000000004</v>
      </c>
      <c r="F35">
        <v>5</v>
      </c>
      <c r="G35" t="s">
        <v>225</v>
      </c>
      <c r="H35" t="s">
        <v>97</v>
      </c>
      <c r="I35" t="s">
        <v>104</v>
      </c>
      <c r="J35">
        <v>6.21</v>
      </c>
      <c r="K35" s="3">
        <v>1.4155696082581979</v>
      </c>
      <c r="L35">
        <v>0.15915509266663935</v>
      </c>
      <c r="M35">
        <v>2.3726879902391977</v>
      </c>
      <c r="N35">
        <v>14.95521601016751</v>
      </c>
      <c r="O35" s="3">
        <v>6.2928940000000003E-2</v>
      </c>
      <c r="P35">
        <v>0.19187499999999999</v>
      </c>
      <c r="Q35">
        <f t="shared" si="0"/>
        <v>4.5960057922308906</v>
      </c>
      <c r="R35">
        <v>0.32437500000000008</v>
      </c>
      <c r="S35">
        <f t="shared" si="1"/>
        <v>0.5162500000000001</v>
      </c>
      <c r="T35">
        <v>0.4837499999999999</v>
      </c>
      <c r="U35">
        <v>9112556856.049736</v>
      </c>
      <c r="V35">
        <v>58784720.155028455</v>
      </c>
      <c r="W35">
        <f t="shared" si="2"/>
        <v>6.4509578468091378E-3</v>
      </c>
      <c r="X35">
        <v>0</v>
      </c>
      <c r="Y35">
        <v>0.22319526600585063</v>
      </c>
      <c r="Z35">
        <v>0.16963024897294132</v>
      </c>
      <c r="AA35">
        <v>0.17474353314797414</v>
      </c>
      <c r="AB35">
        <v>0.24237454182034887</v>
      </c>
      <c r="AC35" t="s">
        <v>240</v>
      </c>
    </row>
    <row r="36" spans="1:29" x14ac:dyDescent="0.35">
      <c r="A36" t="s">
        <v>28</v>
      </c>
      <c r="B36" t="s">
        <v>81</v>
      </c>
      <c r="C36" s="5" t="s">
        <v>256</v>
      </c>
      <c r="D36">
        <v>329995.00000000012</v>
      </c>
      <c r="E36">
        <v>6161463</v>
      </c>
      <c r="F36">
        <v>5</v>
      </c>
      <c r="G36" t="s">
        <v>225</v>
      </c>
      <c r="H36" t="s">
        <v>97</v>
      </c>
      <c r="I36" t="s">
        <v>105</v>
      </c>
      <c r="J36">
        <v>5.5</v>
      </c>
      <c r="K36" s="3">
        <v>2.3178693156819503</v>
      </c>
      <c r="L36">
        <v>0.4450531596300884</v>
      </c>
      <c r="M36">
        <v>5.036118138898436</v>
      </c>
      <c r="N36">
        <v>11.33322451910459</v>
      </c>
      <c r="O36" s="3">
        <v>5.5252035600000006E-2</v>
      </c>
      <c r="P36">
        <v>0.15875</v>
      </c>
      <c r="Q36">
        <f t="shared" si="0"/>
        <v>12.590295347246089</v>
      </c>
      <c r="R36">
        <v>0.24124999999999999</v>
      </c>
      <c r="S36">
        <f t="shared" si="1"/>
        <v>0.4</v>
      </c>
      <c r="T36">
        <v>0.6</v>
      </c>
      <c r="U36">
        <v>14621999435.399223</v>
      </c>
      <c r="V36">
        <v>171546054.60400733</v>
      </c>
      <c r="W36">
        <f t="shared" si="2"/>
        <v>1.1732051786891868E-2</v>
      </c>
      <c r="X36">
        <v>0</v>
      </c>
      <c r="Y36">
        <v>1.8336243540096352E-2</v>
      </c>
      <c r="Z36">
        <v>4.0715233992491273E-2</v>
      </c>
      <c r="AA36">
        <v>0.23977742599418442</v>
      </c>
      <c r="AB36">
        <v>0.44971202691909373</v>
      </c>
      <c r="AC36" t="s">
        <v>240</v>
      </c>
    </row>
    <row r="37" spans="1:29" x14ac:dyDescent="0.35">
      <c r="A37" t="s">
        <v>27</v>
      </c>
      <c r="B37" t="s">
        <v>80</v>
      </c>
      <c r="C37" s="5" t="s">
        <v>256</v>
      </c>
      <c r="D37">
        <v>329995.00000000012</v>
      </c>
      <c r="E37">
        <v>6161463</v>
      </c>
      <c r="F37">
        <v>5</v>
      </c>
      <c r="G37" t="s">
        <v>225</v>
      </c>
      <c r="H37" t="s">
        <v>97</v>
      </c>
      <c r="I37" t="s">
        <v>106</v>
      </c>
      <c r="J37">
        <v>5.1100000000000003</v>
      </c>
      <c r="K37" s="3">
        <v>1.9175599276369735</v>
      </c>
      <c r="L37">
        <v>0.28457484170337477</v>
      </c>
      <c r="M37">
        <v>3.3471568890760417</v>
      </c>
      <c r="N37">
        <v>11.768246943787627</v>
      </c>
      <c r="O37" s="3">
        <v>3.9016017799999997E-2</v>
      </c>
      <c r="P37">
        <v>0.18375000000000002</v>
      </c>
      <c r="Q37">
        <f t="shared" si="0"/>
        <v>6.4835968795661811</v>
      </c>
      <c r="R37">
        <v>0.33250000000000002</v>
      </c>
      <c r="S37">
        <f t="shared" si="1"/>
        <v>0.5162500000000001</v>
      </c>
      <c r="T37">
        <v>0.4837499999999999</v>
      </c>
      <c r="U37">
        <v>16161382392.116934</v>
      </c>
      <c r="V37">
        <v>220567071.57953399</v>
      </c>
      <c r="W37">
        <f t="shared" si="2"/>
        <v>1.3647784962202267E-2</v>
      </c>
      <c r="X37">
        <v>0</v>
      </c>
      <c r="Y37">
        <v>1.8336243540096352E-2</v>
      </c>
      <c r="Z37">
        <v>4.0715233992491273E-2</v>
      </c>
      <c r="AA37">
        <v>0.23977742599418442</v>
      </c>
      <c r="AB37">
        <v>0.44971202691909373</v>
      </c>
      <c r="AC37" t="s">
        <v>240</v>
      </c>
    </row>
    <row r="38" spans="1:29" x14ac:dyDescent="0.35">
      <c r="A38" t="s">
        <v>30</v>
      </c>
      <c r="B38" t="s">
        <v>83</v>
      </c>
      <c r="C38" s="5" t="s">
        <v>257</v>
      </c>
      <c r="D38">
        <v>334921.90000000002</v>
      </c>
      <c r="E38">
        <v>6165503.5</v>
      </c>
      <c r="F38">
        <v>5</v>
      </c>
      <c r="G38" t="s">
        <v>225</v>
      </c>
      <c r="H38" t="s">
        <v>97</v>
      </c>
      <c r="I38" t="s">
        <v>107</v>
      </c>
      <c r="J38">
        <v>6.46</v>
      </c>
      <c r="K38" s="3">
        <v>2.6975267984613724</v>
      </c>
      <c r="L38">
        <v>0.37743105228478813</v>
      </c>
      <c r="M38">
        <v>4.562251998845956</v>
      </c>
      <c r="N38">
        <v>12.081800857361861</v>
      </c>
      <c r="O38" s="3">
        <v>5.3340652000000002E-2</v>
      </c>
      <c r="P38">
        <v>0.15875</v>
      </c>
      <c r="Q38">
        <f t="shared" si="0"/>
        <v>10.237872648181668</v>
      </c>
      <c r="R38">
        <v>0.28687499999999999</v>
      </c>
      <c r="S38">
        <f t="shared" si="1"/>
        <v>0.44562499999999999</v>
      </c>
      <c r="T38">
        <v>0.55437499999999995</v>
      </c>
      <c r="U38">
        <v>14621999435.399223</v>
      </c>
      <c r="V38">
        <v>188587744.45976976</v>
      </c>
      <c r="W38">
        <f t="shared" si="2"/>
        <v>1.2897534656115978E-2</v>
      </c>
      <c r="X38">
        <v>5.570423008216337E-3</v>
      </c>
      <c r="Y38">
        <v>0.38055022016743756</v>
      </c>
      <c r="Z38">
        <v>0.63505028690473309</v>
      </c>
      <c r="AA38">
        <v>0.80700882627256121</v>
      </c>
      <c r="AB38">
        <v>0.88679127665281587</v>
      </c>
      <c r="AC38" t="s">
        <v>241</v>
      </c>
    </row>
    <row r="39" spans="1:29" x14ac:dyDescent="0.35">
      <c r="A39" t="s">
        <v>29</v>
      </c>
      <c r="B39" t="s">
        <v>82</v>
      </c>
      <c r="C39" s="5" t="s">
        <v>257</v>
      </c>
      <c r="D39">
        <v>334921.90000000002</v>
      </c>
      <c r="E39">
        <v>6165503.5</v>
      </c>
      <c r="F39">
        <v>5</v>
      </c>
      <c r="G39" t="s">
        <v>225</v>
      </c>
      <c r="H39" t="s">
        <v>97</v>
      </c>
      <c r="I39" t="s">
        <v>108</v>
      </c>
      <c r="J39">
        <v>5.76</v>
      </c>
      <c r="K39" s="3">
        <v>1.7320075749207369</v>
      </c>
      <c r="L39">
        <v>0.18742102878440373</v>
      </c>
      <c r="M39">
        <v>2.4693003960935904</v>
      </c>
      <c r="N39">
        <v>13.193982687882201</v>
      </c>
      <c r="O39" s="3">
        <v>3.9713587799999998E-2</v>
      </c>
      <c r="P39">
        <v>0.15437499999999998</v>
      </c>
      <c r="Q39">
        <f t="shared" si="0"/>
        <v>5.9322532038284441</v>
      </c>
      <c r="R39">
        <v>0.26187500000000008</v>
      </c>
      <c r="S39">
        <f t="shared" si="1"/>
        <v>0.41625000000000006</v>
      </c>
      <c r="T39">
        <v>0.58374999999999988</v>
      </c>
      <c r="U39">
        <v>9144064412.8229561</v>
      </c>
      <c r="V39">
        <v>19212408.400978584</v>
      </c>
      <c r="W39">
        <f t="shared" si="2"/>
        <v>2.1010797314634541E-3</v>
      </c>
      <c r="X39">
        <v>5.570423008216337E-3</v>
      </c>
      <c r="Y39">
        <v>0.38055022016743756</v>
      </c>
      <c r="Z39">
        <v>0.63505028690473309</v>
      </c>
      <c r="AA39">
        <v>0.80700882627256121</v>
      </c>
      <c r="AB39">
        <v>0.88679127665281587</v>
      </c>
      <c r="AC39" t="s">
        <v>241</v>
      </c>
    </row>
    <row r="40" spans="1:29" x14ac:dyDescent="0.35">
      <c r="A40" t="s">
        <v>115</v>
      </c>
      <c r="B40" t="s">
        <v>84</v>
      </c>
      <c r="C40" s="5" t="s">
        <v>265</v>
      </c>
      <c r="D40">
        <v>335139.00000000012</v>
      </c>
      <c r="E40">
        <v>6165524</v>
      </c>
      <c r="F40">
        <v>5</v>
      </c>
      <c r="G40" t="s">
        <v>43</v>
      </c>
      <c r="H40" t="s">
        <v>97</v>
      </c>
      <c r="I40" t="s">
        <v>43</v>
      </c>
      <c r="J40">
        <v>6.41</v>
      </c>
      <c r="K40" s="3">
        <v>8.109651844893051</v>
      </c>
      <c r="L40">
        <v>1.1351123651151689</v>
      </c>
      <c r="M40">
        <v>17.448044592550264</v>
      </c>
      <c r="N40">
        <v>15.417416930349592</v>
      </c>
      <c r="O40" s="3">
        <v>5.6442041600000006E-2</v>
      </c>
      <c r="P40">
        <v>0.12937499999999999</v>
      </c>
      <c r="Q40">
        <f t="shared" si="0"/>
        <v>47.639712198089448</v>
      </c>
      <c r="R40">
        <v>0.23687500000000006</v>
      </c>
      <c r="S40">
        <f t="shared" si="1"/>
        <v>0.36625000000000008</v>
      </c>
      <c r="T40">
        <v>0.63374999999999992</v>
      </c>
      <c r="X40">
        <v>0.63646061742448945</v>
      </c>
      <c r="Y40">
        <v>0.50237125879339928</v>
      </c>
      <c r="Z40">
        <v>0.68772790308482512</v>
      </c>
      <c r="AA40">
        <v>0.82294883044298694</v>
      </c>
      <c r="AB40">
        <v>0.89209375913123812</v>
      </c>
      <c r="AC40" t="s">
        <v>217</v>
      </c>
    </row>
    <row r="41" spans="1:29" s="1" customFormat="1" x14ac:dyDescent="0.35">
      <c r="A41" s="1" t="s">
        <v>116</v>
      </c>
      <c r="B41" s="1" t="s">
        <v>85</v>
      </c>
      <c r="C41" s="5" t="s">
        <v>265</v>
      </c>
      <c r="D41">
        <v>335139.00000000012</v>
      </c>
      <c r="E41">
        <v>6165524</v>
      </c>
      <c r="F41">
        <v>5</v>
      </c>
      <c r="G41" t="s">
        <v>43</v>
      </c>
      <c r="H41" s="1" t="s">
        <v>97</v>
      </c>
      <c r="I41" s="1" t="s">
        <v>43</v>
      </c>
      <c r="J41" s="1">
        <v>6.76</v>
      </c>
      <c r="K41" s="2">
        <v>4.6940970309218883</v>
      </c>
      <c r="L41" s="1">
        <v>0.52443230892392489</v>
      </c>
      <c r="M41" s="1">
        <v>7.8609525695266145</v>
      </c>
      <c r="N41" s="1">
        <v>14.960718680531141</v>
      </c>
      <c r="O41" s="2">
        <v>5.0858359799999996E-2</v>
      </c>
      <c r="P41">
        <v>8.8750000000000023E-2</v>
      </c>
      <c r="Q41">
        <f t="shared" si="0"/>
        <v>22.182582206777042</v>
      </c>
      <c r="R41">
        <v>0.265625</v>
      </c>
      <c r="S41">
        <f t="shared" si="1"/>
        <v>0.354375</v>
      </c>
      <c r="T41">
        <v>0.645625</v>
      </c>
      <c r="U41" s="1">
        <v>7910067691.7899847</v>
      </c>
      <c r="V41" s="1">
        <v>81889650.513463959</v>
      </c>
      <c r="W41">
        <f t="shared" si="2"/>
        <v>1.0352585300686976E-2</v>
      </c>
      <c r="X41">
        <v>0.63646061742448945</v>
      </c>
      <c r="Y41">
        <v>0.50237125879339928</v>
      </c>
      <c r="Z41">
        <v>0.68772790308482512</v>
      </c>
      <c r="AA41">
        <v>0.82294883044298694</v>
      </c>
      <c r="AB41">
        <v>0.89209375913123812</v>
      </c>
      <c r="AC41" t="s">
        <v>217</v>
      </c>
    </row>
    <row r="42" spans="1:29" x14ac:dyDescent="0.35">
      <c r="A42" t="s">
        <v>32</v>
      </c>
      <c r="B42" t="s">
        <v>87</v>
      </c>
      <c r="C42" s="5" t="s">
        <v>258</v>
      </c>
      <c r="D42">
        <v>302867.00000000012</v>
      </c>
      <c r="E42">
        <v>6109326</v>
      </c>
      <c r="F42">
        <v>6</v>
      </c>
      <c r="G42" t="s">
        <v>225</v>
      </c>
      <c r="H42" t="s">
        <v>97</v>
      </c>
      <c r="I42" t="s">
        <v>103</v>
      </c>
      <c r="J42">
        <v>6.4</v>
      </c>
      <c r="K42" s="3">
        <v>2.4898993023924261</v>
      </c>
      <c r="L42">
        <v>0.42030475737004458</v>
      </c>
      <c r="M42">
        <v>4.7969527459407075</v>
      </c>
      <c r="N42">
        <v>11.432408272814833</v>
      </c>
      <c r="O42" s="3">
        <v>8.8900536599999996E-2</v>
      </c>
      <c r="P42">
        <v>8.3750000000000019E-2</v>
      </c>
      <c r="Q42">
        <f t="shared" si="0"/>
        <v>21.742562021260998</v>
      </c>
      <c r="R42">
        <v>0.13687499999999997</v>
      </c>
      <c r="S42">
        <f t="shared" si="1"/>
        <v>0.22062499999999999</v>
      </c>
      <c r="T42">
        <v>0.77937500000000004</v>
      </c>
      <c r="U42">
        <v>9112556856.049736</v>
      </c>
      <c r="V42">
        <v>38245921.753496639</v>
      </c>
      <c r="W42">
        <f t="shared" si="2"/>
        <v>4.1970571331037074E-3</v>
      </c>
      <c r="X42">
        <v>0.30064368750059028</v>
      </c>
      <c r="Y42">
        <v>0.23035613327306106</v>
      </c>
      <c r="Z42">
        <v>0.26570682709171972</v>
      </c>
      <c r="AA42">
        <v>0.28996821053775834</v>
      </c>
      <c r="AB42">
        <v>0.30734719184445736</v>
      </c>
      <c r="AC42" t="s">
        <v>240</v>
      </c>
    </row>
    <row r="43" spans="1:29" x14ac:dyDescent="0.35">
      <c r="A43" t="s">
        <v>31</v>
      </c>
      <c r="B43" t="s">
        <v>86</v>
      </c>
      <c r="C43" s="5" t="s">
        <v>258</v>
      </c>
      <c r="D43">
        <v>302867.00000000012</v>
      </c>
      <c r="E43">
        <v>6109326</v>
      </c>
      <c r="F43">
        <v>6</v>
      </c>
      <c r="G43" t="s">
        <v>225</v>
      </c>
      <c r="H43" t="s">
        <v>97</v>
      </c>
      <c r="I43" t="s">
        <v>104</v>
      </c>
      <c r="J43">
        <v>6.4</v>
      </c>
      <c r="K43" s="3">
        <v>2.3836643822767876</v>
      </c>
      <c r="L43">
        <v>0.44892129383929047</v>
      </c>
      <c r="M43">
        <v>4.9774712614337604</v>
      </c>
      <c r="N43">
        <v>11.095530555681894</v>
      </c>
      <c r="O43" s="3">
        <v>0.1879738074</v>
      </c>
      <c r="P43">
        <v>7.1250000000000008E-2</v>
      </c>
      <c r="Q43">
        <f t="shared" si="0"/>
        <v>24.887356307168801</v>
      </c>
      <c r="R43">
        <v>0.12875</v>
      </c>
      <c r="S43">
        <f t="shared" si="1"/>
        <v>0.2</v>
      </c>
      <c r="T43">
        <v>0.8</v>
      </c>
      <c r="U43">
        <v>2877171101.0288339</v>
      </c>
      <c r="V43">
        <v>33667754.102622628</v>
      </c>
      <c r="W43">
        <f t="shared" si="2"/>
        <v>1.1701686455346203E-2</v>
      </c>
      <c r="X43">
        <v>0.30064368750059028</v>
      </c>
      <c r="Y43">
        <v>0.23035613327306106</v>
      </c>
      <c r="Z43">
        <v>0.26570682709171972</v>
      </c>
      <c r="AA43">
        <v>0.28996821053775834</v>
      </c>
      <c r="AB43">
        <v>0.30734719184445736</v>
      </c>
      <c r="AC43" t="s">
        <v>240</v>
      </c>
    </row>
    <row r="44" spans="1:29" x14ac:dyDescent="0.35">
      <c r="A44" t="s">
        <v>34</v>
      </c>
      <c r="B44" t="s">
        <v>89</v>
      </c>
      <c r="C44" s="5" t="s">
        <v>259</v>
      </c>
      <c r="D44">
        <v>312468.99999999988</v>
      </c>
      <c r="E44">
        <v>6098487</v>
      </c>
      <c r="F44">
        <v>6</v>
      </c>
      <c r="G44" t="s">
        <v>225</v>
      </c>
      <c r="H44" t="s">
        <v>97</v>
      </c>
      <c r="I44" t="s">
        <v>105</v>
      </c>
      <c r="J44">
        <v>6.75</v>
      </c>
      <c r="K44" s="3">
        <v>3.389564040996988</v>
      </c>
      <c r="L44">
        <v>0.45825973226914096</v>
      </c>
      <c r="M44">
        <v>5.3817218805758547</v>
      </c>
      <c r="N44">
        <v>11.745186725981386</v>
      </c>
      <c r="O44" s="3">
        <v>7.0659350400000001E-2</v>
      </c>
      <c r="P44">
        <v>0.12625000000000003</v>
      </c>
      <c r="Q44">
        <f t="shared" si="0"/>
        <v>13.454304701439638</v>
      </c>
      <c r="R44">
        <v>0.27374999999999994</v>
      </c>
      <c r="S44">
        <f t="shared" si="1"/>
        <v>0.39999999999999997</v>
      </c>
      <c r="T44">
        <v>0.6</v>
      </c>
      <c r="U44">
        <v>69425182.669152439</v>
      </c>
      <c r="V44">
        <v>743541.59959466395</v>
      </c>
      <c r="W44">
        <f t="shared" si="2"/>
        <v>1.0709969653778677E-2</v>
      </c>
      <c r="X44">
        <v>0</v>
      </c>
      <c r="Y44">
        <v>7.4373741526615068E-3</v>
      </c>
      <c r="Z44">
        <v>0.43443898891234478</v>
      </c>
      <c r="AA44">
        <v>0.65303755967716892</v>
      </c>
      <c r="AB44">
        <v>0.66787311766930502</v>
      </c>
      <c r="AC44" t="s">
        <v>241</v>
      </c>
    </row>
    <row r="45" spans="1:29" x14ac:dyDescent="0.35">
      <c r="A45" t="s">
        <v>33</v>
      </c>
      <c r="B45" t="s">
        <v>88</v>
      </c>
      <c r="C45" s="5" t="s">
        <v>259</v>
      </c>
      <c r="D45">
        <v>312468.99999999988</v>
      </c>
      <c r="E45">
        <v>6098487</v>
      </c>
      <c r="F45">
        <v>6</v>
      </c>
      <c r="G45" t="s">
        <v>225</v>
      </c>
      <c r="H45" t="s">
        <v>97</v>
      </c>
      <c r="I45" t="s">
        <v>106</v>
      </c>
      <c r="J45">
        <v>6.73</v>
      </c>
      <c r="K45" s="3">
        <v>3.0397997042963096</v>
      </c>
      <c r="L45">
        <v>0.42023110263754893</v>
      </c>
      <c r="M45">
        <v>5.0789949374693233</v>
      </c>
      <c r="N45">
        <v>12.093259044229512</v>
      </c>
      <c r="O45" s="3">
        <v>0.10294837180000001</v>
      </c>
      <c r="P45">
        <v>8.3750000000000019E-2</v>
      </c>
      <c r="Q45">
        <f t="shared" si="0"/>
        <v>11.071378610287351</v>
      </c>
      <c r="R45">
        <v>0.37500000000000006</v>
      </c>
      <c r="S45">
        <f t="shared" si="1"/>
        <v>0.4587500000000001</v>
      </c>
      <c r="T45">
        <v>0.5412499999999999</v>
      </c>
      <c r="X45">
        <v>0</v>
      </c>
      <c r="Y45">
        <v>7.4373741526615068E-3</v>
      </c>
      <c r="Z45">
        <v>0.43443898891234478</v>
      </c>
      <c r="AA45">
        <v>0.65303755967716892</v>
      </c>
      <c r="AB45">
        <v>0.66787311766930502</v>
      </c>
      <c r="AC45" t="s">
        <v>241</v>
      </c>
    </row>
    <row r="46" spans="1:29" x14ac:dyDescent="0.35">
      <c r="A46" t="s">
        <v>36</v>
      </c>
      <c r="B46" t="s">
        <v>91</v>
      </c>
      <c r="C46" s="5" t="s">
        <v>260</v>
      </c>
      <c r="D46">
        <v>312848</v>
      </c>
      <c r="E46">
        <v>6098782</v>
      </c>
      <c r="F46">
        <v>6</v>
      </c>
      <c r="G46" t="s">
        <v>225</v>
      </c>
      <c r="H46" t="s">
        <v>97</v>
      </c>
      <c r="I46" t="s">
        <v>107</v>
      </c>
      <c r="J46">
        <v>5.84</v>
      </c>
      <c r="K46" s="3">
        <v>2.1594520461407258</v>
      </c>
      <c r="L46">
        <v>0.25895158058586898</v>
      </c>
      <c r="M46">
        <v>3.7987094070606986</v>
      </c>
      <c r="N46">
        <v>14.662536080994002</v>
      </c>
      <c r="O46" s="3">
        <v>7.4653410000000003E-2</v>
      </c>
      <c r="P46">
        <v>0.17125000000000001</v>
      </c>
      <c r="Q46">
        <f t="shared" si="0"/>
        <v>6.3311823451011637</v>
      </c>
      <c r="R46">
        <v>0.42875000000000002</v>
      </c>
      <c r="S46">
        <f t="shared" si="1"/>
        <v>0.60000000000000009</v>
      </c>
      <c r="T46">
        <v>0.4</v>
      </c>
      <c r="U46">
        <v>13320884744.549019</v>
      </c>
      <c r="V46">
        <v>63227355.581833147</v>
      </c>
      <c r="W46">
        <f t="shared" si="2"/>
        <v>4.746483194947403E-3</v>
      </c>
      <c r="X46">
        <v>0.67628118418608163</v>
      </c>
      <c r="Y46">
        <v>0.59296200284635536</v>
      </c>
      <c r="Z46">
        <v>0.63693024673760679</v>
      </c>
      <c r="AA46">
        <v>0.73062623105424029</v>
      </c>
      <c r="AB46">
        <v>0.67021547099496348</v>
      </c>
      <c r="AC46" t="s">
        <v>241</v>
      </c>
    </row>
    <row r="47" spans="1:29" x14ac:dyDescent="0.35">
      <c r="A47" t="s">
        <v>35</v>
      </c>
      <c r="B47" t="s">
        <v>90</v>
      </c>
      <c r="C47" s="5" t="s">
        <v>260</v>
      </c>
      <c r="D47">
        <v>312848</v>
      </c>
      <c r="E47">
        <v>6098782</v>
      </c>
      <c r="F47">
        <v>6</v>
      </c>
      <c r="G47" t="s">
        <v>225</v>
      </c>
      <c r="H47" t="s">
        <v>97</v>
      </c>
      <c r="I47" t="s">
        <v>108</v>
      </c>
      <c r="J47">
        <v>5.85</v>
      </c>
      <c r="K47" s="3">
        <v>3.6346671508973634</v>
      </c>
      <c r="L47">
        <v>0.31946461516153046</v>
      </c>
      <c r="M47">
        <v>5.3697431849366657</v>
      </c>
      <c r="N47">
        <v>16.852992807109683</v>
      </c>
      <c r="O47" s="3">
        <v>7.0882884599999987E-2</v>
      </c>
      <c r="P47">
        <v>0.23375000000000004</v>
      </c>
      <c r="Q47">
        <f t="shared" si="0"/>
        <v>11.304722494603507</v>
      </c>
      <c r="R47">
        <v>0.24124999999999996</v>
      </c>
      <c r="S47">
        <f t="shared" si="1"/>
        <v>0.47499999999999998</v>
      </c>
      <c r="T47">
        <v>0.52500000000000002</v>
      </c>
      <c r="U47">
        <v>10534145863.721989</v>
      </c>
      <c r="V47">
        <v>16728798.105880765</v>
      </c>
      <c r="W47">
        <f t="shared" si="2"/>
        <v>1.5880545344917072E-3</v>
      </c>
      <c r="X47">
        <v>0.67628118418608163</v>
      </c>
      <c r="Y47">
        <v>0.59296200284635536</v>
      </c>
      <c r="Z47">
        <v>0.63693024673760679</v>
      </c>
      <c r="AA47">
        <v>0.73062623105424029</v>
      </c>
      <c r="AB47">
        <v>0.67021547099496348</v>
      </c>
      <c r="AC47" t="s">
        <v>241</v>
      </c>
    </row>
    <row r="48" spans="1:29" x14ac:dyDescent="0.35">
      <c r="A48" t="s">
        <v>128</v>
      </c>
      <c r="B48" t="s">
        <v>92</v>
      </c>
      <c r="C48" s="5" t="s">
        <v>266</v>
      </c>
      <c r="D48">
        <v>313072.99999999988</v>
      </c>
      <c r="E48">
        <v>6098841</v>
      </c>
      <c r="F48">
        <v>6</v>
      </c>
      <c r="G48" t="s">
        <v>43</v>
      </c>
      <c r="H48" t="s">
        <v>97</v>
      </c>
      <c r="I48" t="s">
        <v>43</v>
      </c>
      <c r="J48">
        <v>6.83</v>
      </c>
      <c r="K48" s="3">
        <v>10.035408719946918</v>
      </c>
      <c r="L48">
        <v>1.2018169256326183</v>
      </c>
      <c r="M48">
        <v>22.971567325974394</v>
      </c>
      <c r="N48">
        <v>19.152238624552133</v>
      </c>
      <c r="O48" s="3">
        <v>7.3647538400000004E-2</v>
      </c>
      <c r="P48">
        <v>0.30875000000000002</v>
      </c>
      <c r="Q48">
        <f t="shared" si="0"/>
        <v>42.441694828590101</v>
      </c>
      <c r="R48">
        <v>0.23249999999999996</v>
      </c>
      <c r="S48">
        <f t="shared" si="1"/>
        <v>0.54125000000000001</v>
      </c>
      <c r="T48">
        <v>0.45874999999999999</v>
      </c>
      <c r="X48">
        <v>0.92803247316884174</v>
      </c>
      <c r="Y48">
        <v>0.88331903018332669</v>
      </c>
      <c r="Z48">
        <v>0.80789848712557044</v>
      </c>
      <c r="AA48">
        <v>0.71330189718880133</v>
      </c>
      <c r="AB48">
        <v>0.68484468778647967</v>
      </c>
      <c r="AC48" t="s">
        <v>217</v>
      </c>
    </row>
    <row r="49" spans="1:39" s="1" customFormat="1" x14ac:dyDescent="0.35">
      <c r="A49" s="1" t="s">
        <v>130</v>
      </c>
      <c r="B49" s="1" t="s">
        <v>93</v>
      </c>
      <c r="C49" s="5" t="s">
        <v>266</v>
      </c>
      <c r="D49">
        <v>313072.99999999988</v>
      </c>
      <c r="E49">
        <v>6098841</v>
      </c>
      <c r="F49">
        <v>6</v>
      </c>
      <c r="G49" t="s">
        <v>43</v>
      </c>
      <c r="H49" s="1" t="s">
        <v>97</v>
      </c>
      <c r="I49" s="1" t="s">
        <v>43</v>
      </c>
      <c r="J49" s="1">
        <v>6.51</v>
      </c>
      <c r="K49" s="2">
        <v>11.679084361430455</v>
      </c>
      <c r="L49" s="1">
        <v>1.0155315526764555</v>
      </c>
      <c r="M49" s="1">
        <v>19.686318136922218</v>
      </c>
      <c r="N49" s="1">
        <v>19.435951895375581</v>
      </c>
      <c r="O49" s="2">
        <v>6.6100194799999998E-2</v>
      </c>
      <c r="P49">
        <v>0.18875000000000003</v>
      </c>
      <c r="Q49">
        <f t="shared" si="0"/>
        <v>54.307084515647489</v>
      </c>
      <c r="R49">
        <v>0.17375000000000004</v>
      </c>
      <c r="S49">
        <f t="shared" si="1"/>
        <v>0.36250000000000004</v>
      </c>
      <c r="T49">
        <v>0.63749999999999996</v>
      </c>
      <c r="W49"/>
      <c r="X49">
        <v>0.92803247316884174</v>
      </c>
      <c r="Y49">
        <v>0.88331903018332669</v>
      </c>
      <c r="Z49">
        <v>0.80789848712557044</v>
      </c>
      <c r="AA49">
        <v>0.71330189718880133</v>
      </c>
      <c r="AB49">
        <v>0.68484468778647967</v>
      </c>
      <c r="AC49" t="s">
        <v>217</v>
      </c>
    </row>
    <row r="50" spans="1:39" x14ac:dyDescent="0.35">
      <c r="A50" t="s">
        <v>134</v>
      </c>
      <c r="B50" t="s">
        <v>48</v>
      </c>
      <c r="C50" t="s">
        <v>243</v>
      </c>
      <c r="D50">
        <v>320995.59999999998</v>
      </c>
      <c r="E50">
        <v>6155792.2999999998</v>
      </c>
      <c r="F50">
        <v>1</v>
      </c>
      <c r="G50" t="s">
        <v>225</v>
      </c>
      <c r="H50" t="s">
        <v>95</v>
      </c>
      <c r="I50" t="s">
        <v>103</v>
      </c>
      <c r="J50" s="3">
        <v>6.38</v>
      </c>
      <c r="K50" s="3">
        <v>5.8224432667500237</v>
      </c>
      <c r="L50" s="3">
        <v>0.21342961321756104</v>
      </c>
      <c r="M50" s="3">
        <v>2.2770431448070458</v>
      </c>
      <c r="N50" s="3">
        <v>10.661192135611403</v>
      </c>
      <c r="O50" s="3">
        <v>5.2296702E-2</v>
      </c>
      <c r="P50">
        <v>0.166875</v>
      </c>
      <c r="Q50">
        <f t="shared" si="0"/>
        <v>5.3108878012992315</v>
      </c>
      <c r="R50">
        <v>0.26187500000000008</v>
      </c>
      <c r="S50">
        <f t="shared" si="1"/>
        <v>0.42875000000000008</v>
      </c>
      <c r="T50">
        <v>0.57124999999999992</v>
      </c>
      <c r="U50">
        <v>11886807368.197958</v>
      </c>
      <c r="V50">
        <v>32463389.684630807</v>
      </c>
      <c r="W50">
        <f t="shared" si="2"/>
        <v>2.7310436418346924E-3</v>
      </c>
      <c r="X50">
        <v>0.49707271826460753</v>
      </c>
      <c r="Y50">
        <v>0.54463814652891485</v>
      </c>
      <c r="Z50">
        <v>0.34871354144153299</v>
      </c>
      <c r="AA50">
        <v>0.20725825140187598</v>
      </c>
      <c r="AB50">
        <v>0.31258178519035434</v>
      </c>
      <c r="AC50" t="s">
        <v>240</v>
      </c>
      <c r="AD50">
        <v>13.471745396285881</v>
      </c>
      <c r="AE50">
        <v>9.864014787318661</v>
      </c>
      <c r="AF50">
        <v>0.40916666666666696</v>
      </c>
      <c r="AG50">
        <v>1.3808333333333331</v>
      </c>
      <c r="AH50">
        <v>2.0216666666666678</v>
      </c>
      <c r="AI50">
        <v>11.983676744931975</v>
      </c>
      <c r="AJ50">
        <v>40.441858179943502</v>
      </c>
      <c r="AK50" s="3">
        <v>59.210590189826824</v>
      </c>
      <c r="AL50" s="3"/>
      <c r="AM50" s="3"/>
    </row>
    <row r="51" spans="1:39" x14ac:dyDescent="0.35">
      <c r="A51" t="s">
        <v>137</v>
      </c>
      <c r="B51" t="s">
        <v>47</v>
      </c>
      <c r="C51" t="s">
        <v>243</v>
      </c>
      <c r="D51">
        <v>320995.59999999998</v>
      </c>
      <c r="E51">
        <v>6155792.2999999998</v>
      </c>
      <c r="F51">
        <v>1</v>
      </c>
      <c r="G51" t="s">
        <v>225</v>
      </c>
      <c r="H51" t="s">
        <v>95</v>
      </c>
      <c r="I51" t="s">
        <v>104</v>
      </c>
      <c r="J51" s="3">
        <v>5.41</v>
      </c>
      <c r="K51" s="3">
        <v>8.142022178945636</v>
      </c>
      <c r="L51" s="3">
        <v>0.73839780232680174</v>
      </c>
      <c r="M51" s="3">
        <v>9.0295784974429552</v>
      </c>
      <c r="N51" s="3">
        <v>12.23732100300723</v>
      </c>
      <c r="O51" s="3">
        <v>4.2918285666666667E-2</v>
      </c>
      <c r="P51">
        <v>0.15437499999999998</v>
      </c>
      <c r="Q51">
        <f t="shared" si="0"/>
        <v>18.380821368840618</v>
      </c>
      <c r="R51">
        <v>0.33687500000000009</v>
      </c>
      <c r="S51">
        <f t="shared" si="1"/>
        <v>0.49125000000000008</v>
      </c>
      <c r="T51">
        <v>0.50874999999999992</v>
      </c>
      <c r="U51">
        <v>7855650418.0133533</v>
      </c>
      <c r="V51">
        <v>112835951.56526178</v>
      </c>
      <c r="W51">
        <f t="shared" si="2"/>
        <v>1.436366762280103E-2</v>
      </c>
      <c r="X51">
        <v>0.49707271826460753</v>
      </c>
      <c r="Y51">
        <v>0.54463814652891485</v>
      </c>
      <c r="Z51">
        <v>0.34871354144153299</v>
      </c>
      <c r="AA51">
        <v>0.20725825140187598</v>
      </c>
      <c r="AB51">
        <v>0.31258178519035434</v>
      </c>
      <c r="AC51" t="s">
        <v>240</v>
      </c>
      <c r="AD51">
        <v>16.028956485015375</v>
      </c>
      <c r="AE51">
        <v>14.287227013457388</v>
      </c>
      <c r="AF51">
        <v>1.4083333333333317</v>
      </c>
      <c r="AG51">
        <v>2.1049999999999978</v>
      </c>
      <c r="AH51">
        <v>2.0766666666666675</v>
      </c>
      <c r="AI51">
        <v>50.212072289952737</v>
      </c>
      <c r="AJ51">
        <v>75.050706866521068</v>
      </c>
      <c r="AK51" s="3">
        <v>74.040523163646384</v>
      </c>
      <c r="AL51" s="3"/>
      <c r="AM51" s="3"/>
    </row>
    <row r="52" spans="1:39" x14ac:dyDescent="0.35">
      <c r="A52" t="s">
        <v>138</v>
      </c>
      <c r="B52" t="s">
        <v>50</v>
      </c>
      <c r="C52" t="s">
        <v>244</v>
      </c>
      <c r="D52">
        <v>321331.00000000012</v>
      </c>
      <c r="E52">
        <v>6155264</v>
      </c>
      <c r="F52">
        <v>1</v>
      </c>
      <c r="G52" t="s">
        <v>225</v>
      </c>
      <c r="H52" t="s">
        <v>95</v>
      </c>
      <c r="I52" t="s">
        <v>105</v>
      </c>
      <c r="J52" s="3">
        <v>6.4</v>
      </c>
      <c r="K52" s="3">
        <v>5.1648924980332644</v>
      </c>
      <c r="L52" s="3">
        <v>0.23748253842767519</v>
      </c>
      <c r="M52" s="3">
        <v>2.8197361372577538</v>
      </c>
      <c r="N52" s="3">
        <v>11.849690467580265</v>
      </c>
      <c r="O52" s="3">
        <v>5.1631374666666667E-2</v>
      </c>
      <c r="P52">
        <v>0.20875000000000005</v>
      </c>
      <c r="Q52">
        <f t="shared" si="0"/>
        <v>4.3413951304969265</v>
      </c>
      <c r="R52">
        <v>0.44075000000000003</v>
      </c>
      <c r="S52">
        <f t="shared" si="1"/>
        <v>0.64950000000000008</v>
      </c>
      <c r="T52">
        <v>0.35049999999999998</v>
      </c>
      <c r="U52">
        <v>5718363918.372839</v>
      </c>
      <c r="V52">
        <v>60432753.909000002</v>
      </c>
      <c r="W52">
        <f t="shared" si="2"/>
        <v>1.0568189568144195E-2</v>
      </c>
      <c r="X52">
        <v>0.26025016294386727</v>
      </c>
      <c r="Y52">
        <v>0.27363232818160449</v>
      </c>
      <c r="Z52">
        <v>0.38919906392156089</v>
      </c>
      <c r="AA52">
        <v>0.43633473564233372</v>
      </c>
      <c r="AB52">
        <v>0.36792466988972189</v>
      </c>
      <c r="AC52" t="s">
        <v>241</v>
      </c>
      <c r="AD52">
        <v>13.819281190081879</v>
      </c>
      <c r="AE52">
        <v>11.598488252431132</v>
      </c>
      <c r="AF52">
        <v>0.48666666666666675</v>
      </c>
      <c r="AG52">
        <v>1.2083333333333344</v>
      </c>
      <c r="AH52">
        <v>0.97166666666666879</v>
      </c>
      <c r="AI52">
        <v>16.338324804431331</v>
      </c>
      <c r="AJ52">
        <v>40.566046175386035</v>
      </c>
      <c r="AK52" s="3">
        <v>32.620696441724263</v>
      </c>
      <c r="AL52" s="3"/>
      <c r="AM52" s="3"/>
    </row>
    <row r="53" spans="1:39" x14ac:dyDescent="0.35">
      <c r="A53" t="s">
        <v>121</v>
      </c>
      <c r="B53" t="s">
        <v>49</v>
      </c>
      <c r="C53" t="s">
        <v>244</v>
      </c>
      <c r="D53">
        <v>321331.00000000012</v>
      </c>
      <c r="E53">
        <v>6155264</v>
      </c>
      <c r="F53">
        <v>1</v>
      </c>
      <c r="G53" t="s">
        <v>225</v>
      </c>
      <c r="H53" t="s">
        <v>95</v>
      </c>
      <c r="I53" t="s">
        <v>106</v>
      </c>
      <c r="J53" s="3">
        <v>6.12</v>
      </c>
      <c r="K53" s="3">
        <v>3.1684880508462534</v>
      </c>
      <c r="L53" s="3">
        <v>0.11815032721768857</v>
      </c>
      <c r="M53" s="3">
        <v>1.1454241420884437</v>
      </c>
      <c r="N53" s="3">
        <v>9.6334279513405416</v>
      </c>
      <c r="O53" s="3">
        <v>4.4494150333333336E-2</v>
      </c>
      <c r="P53">
        <v>0.24187500000000001</v>
      </c>
      <c r="Q53">
        <f t="shared" si="0"/>
        <v>1.6570331169453072</v>
      </c>
      <c r="R53">
        <v>0.44937500000000002</v>
      </c>
      <c r="S53">
        <f t="shared" si="1"/>
        <v>0.69125000000000003</v>
      </c>
      <c r="T53">
        <v>0.30875000000000002</v>
      </c>
      <c r="U53">
        <v>8244579453.1286879</v>
      </c>
      <c r="V53">
        <v>104146067.5835056</v>
      </c>
      <c r="W53">
        <f t="shared" si="2"/>
        <v>1.2632065489281422E-2</v>
      </c>
      <c r="X53">
        <v>0.26025016294386727</v>
      </c>
      <c r="Y53">
        <v>0.27363232818160449</v>
      </c>
      <c r="Z53">
        <v>0.38919906392156089</v>
      </c>
      <c r="AA53">
        <v>0.43633473564233372</v>
      </c>
      <c r="AB53">
        <v>0.36792466988972189</v>
      </c>
      <c r="AC53" t="s">
        <v>241</v>
      </c>
      <c r="AD53">
        <v>14.502018826427284</v>
      </c>
      <c r="AE53">
        <v>12.74959725859576</v>
      </c>
      <c r="AF53">
        <v>0.725833333333333</v>
      </c>
      <c r="AG53">
        <v>1.5558333333333323</v>
      </c>
      <c r="AH53">
        <v>1.8633333333333344</v>
      </c>
      <c r="AI53">
        <v>25.524950112463529</v>
      </c>
      <c r="AJ53">
        <v>54.713067577462006</v>
      </c>
      <c r="AK53" s="3">
        <v>65.526737602145261</v>
      </c>
      <c r="AL53" s="3"/>
      <c r="AM53" s="3"/>
    </row>
    <row r="54" spans="1:39" x14ac:dyDescent="0.35">
      <c r="A54" t="s">
        <v>124</v>
      </c>
      <c r="B54" t="s">
        <v>52</v>
      </c>
      <c r="C54" t="s">
        <v>245</v>
      </c>
      <c r="D54">
        <v>328312</v>
      </c>
      <c r="E54">
        <v>6156782</v>
      </c>
      <c r="F54">
        <v>1</v>
      </c>
      <c r="G54" t="s">
        <v>225</v>
      </c>
      <c r="H54" t="s">
        <v>95</v>
      </c>
      <c r="I54" t="s">
        <v>107</v>
      </c>
      <c r="J54" s="3">
        <v>5.52</v>
      </c>
      <c r="K54" s="3">
        <v>1.4804195561282303</v>
      </c>
      <c r="L54" s="3">
        <v>0.19665413266979184</v>
      </c>
      <c r="M54" s="3">
        <v>2.007096974856768</v>
      </c>
      <c r="N54" s="3">
        <v>10.206197729590054</v>
      </c>
      <c r="O54" s="3">
        <v>2.7138469999999998E-2</v>
      </c>
      <c r="P54">
        <v>0.11687500000000001</v>
      </c>
      <c r="Q54">
        <f t="shared" si="0"/>
        <v>4.8218545942504925</v>
      </c>
      <c r="R54">
        <v>0.29937500000000006</v>
      </c>
      <c r="S54">
        <f t="shared" si="1"/>
        <v>0.41625000000000006</v>
      </c>
      <c r="T54">
        <v>0.58374999999999988</v>
      </c>
      <c r="U54">
        <v>100545.46375307413</v>
      </c>
      <c r="V54">
        <v>40986767.40820799</v>
      </c>
      <c r="W54">
        <f t="shared" si="2"/>
        <v>407.64412314876648</v>
      </c>
      <c r="X54">
        <v>0.28963016543863113</v>
      </c>
      <c r="Y54">
        <v>0.50947355194859378</v>
      </c>
      <c r="Z54">
        <v>0.58315643879119383</v>
      </c>
      <c r="AA54">
        <v>0.67081834991939548</v>
      </c>
      <c r="AB54">
        <v>0.8159957966131427</v>
      </c>
      <c r="AC54" t="s">
        <v>241</v>
      </c>
      <c r="AD54">
        <v>10.510560486603666</v>
      </c>
      <c r="AE54">
        <v>5.8854207801762639</v>
      </c>
      <c r="AF54">
        <v>0.15166666666666848</v>
      </c>
      <c r="AG54">
        <v>1.1008333333333351</v>
      </c>
      <c r="AH54">
        <v>2.5808333333333331</v>
      </c>
      <c r="AI54">
        <v>3.3970487217985266</v>
      </c>
      <c r="AJ54">
        <v>24.656600887339607</v>
      </c>
      <c r="AK54" s="3">
        <v>57.805823579175346</v>
      </c>
      <c r="AL54" s="3"/>
      <c r="AM54" s="3"/>
    </row>
    <row r="55" spans="1:39" x14ac:dyDescent="0.35">
      <c r="A55" t="s">
        <v>144</v>
      </c>
      <c r="B55" t="s">
        <v>51</v>
      </c>
      <c r="C55" t="s">
        <v>245</v>
      </c>
      <c r="D55">
        <v>328312</v>
      </c>
      <c r="E55">
        <v>6156782</v>
      </c>
      <c r="F55">
        <v>1</v>
      </c>
      <c r="G55" t="s">
        <v>225</v>
      </c>
      <c r="H55" t="s">
        <v>95</v>
      </c>
      <c r="I55" t="s">
        <v>108</v>
      </c>
      <c r="J55" s="3">
        <v>5.83</v>
      </c>
      <c r="K55" s="3">
        <v>1.6480757085477216</v>
      </c>
      <c r="L55" s="3">
        <v>0.22910052505873749</v>
      </c>
      <c r="M55" s="3">
        <v>2.2464670716723365</v>
      </c>
      <c r="N55" s="3">
        <v>9.7967631996911049</v>
      </c>
      <c r="O55" s="3">
        <v>3.1432721666666663E-2</v>
      </c>
      <c r="P55">
        <v>0.13375000000000001</v>
      </c>
      <c r="Q55">
        <f t="shared" si="0"/>
        <v>5.5640051310769936</v>
      </c>
      <c r="R55">
        <v>0.27000000000000007</v>
      </c>
      <c r="S55">
        <f t="shared" si="1"/>
        <v>0.40375000000000005</v>
      </c>
      <c r="T55">
        <v>0.59624999999999995</v>
      </c>
      <c r="U55">
        <v>4338601278.1831541</v>
      </c>
      <c r="V55">
        <v>226263694.59382299</v>
      </c>
      <c r="W55">
        <f t="shared" si="2"/>
        <v>5.2151299482531353E-2</v>
      </c>
      <c r="X55">
        <v>0.28963016543863113</v>
      </c>
      <c r="Y55">
        <v>0.50947355194859378</v>
      </c>
      <c r="Z55">
        <v>0.58315643879119383</v>
      </c>
      <c r="AA55">
        <v>0.67081834991939548</v>
      </c>
      <c r="AB55">
        <v>0.8159957966131427</v>
      </c>
      <c r="AC55" t="s">
        <v>241</v>
      </c>
      <c r="AD55">
        <v>9.9228426232750024</v>
      </c>
      <c r="AE55">
        <v>6.7115316987863007</v>
      </c>
      <c r="AF55">
        <v>0.32750000000000096</v>
      </c>
      <c r="AG55">
        <v>0.874999999999999</v>
      </c>
      <c r="AH55">
        <v>2.0091666666666677</v>
      </c>
      <c r="AI55">
        <v>8.8604715999297721</v>
      </c>
      <c r="AJ55">
        <v>23.673015725003111</v>
      </c>
      <c r="AK55" s="3">
        <v>54.357753250459609</v>
      </c>
      <c r="AL55" s="3"/>
      <c r="AM55" s="3"/>
    </row>
    <row r="56" spans="1:39" x14ac:dyDescent="0.35">
      <c r="A56" t="s">
        <v>145</v>
      </c>
      <c r="B56" t="s">
        <v>53</v>
      </c>
      <c r="C56" t="s">
        <v>261</v>
      </c>
      <c r="D56">
        <v>328211.7</v>
      </c>
      <c r="E56">
        <v>6156583.5</v>
      </c>
      <c r="F56">
        <v>1</v>
      </c>
      <c r="G56" t="s">
        <v>43</v>
      </c>
      <c r="H56" t="s">
        <v>95</v>
      </c>
      <c r="I56" t="s">
        <v>43</v>
      </c>
      <c r="J56" s="3">
        <v>5.43</v>
      </c>
      <c r="K56" s="4">
        <v>2.2348693637627335</v>
      </c>
      <c r="L56">
        <v>0.32935659129210043</v>
      </c>
      <c r="M56">
        <v>4.2321874749022426</v>
      </c>
      <c r="N56">
        <v>12.839381642880033</v>
      </c>
      <c r="O56" s="4">
        <v>2.5514053333333332E-2</v>
      </c>
      <c r="P56">
        <v>0.10125000000000002</v>
      </c>
      <c r="Q56">
        <f t="shared" si="0"/>
        <v>18.450953569056093</v>
      </c>
      <c r="R56">
        <v>0.12812500000000002</v>
      </c>
      <c r="S56">
        <f t="shared" si="1"/>
        <v>0.22937500000000005</v>
      </c>
      <c r="T56">
        <v>0.770625</v>
      </c>
      <c r="U56">
        <v>107992180.98988639</v>
      </c>
      <c r="V56">
        <v>79537656.791867137</v>
      </c>
      <c r="W56">
        <f t="shared" si="2"/>
        <v>0.73651310736391129</v>
      </c>
      <c r="X56">
        <v>0.61376512253958515</v>
      </c>
      <c r="Y56">
        <v>0.65756015237669185</v>
      </c>
      <c r="Z56">
        <v>0.68288908606549281</v>
      </c>
      <c r="AA56">
        <v>0.73568576669513164</v>
      </c>
      <c r="AB56">
        <v>0.82890746418839312</v>
      </c>
      <c r="AC56" t="s">
        <v>217</v>
      </c>
      <c r="AD56">
        <v>13.075128301242252</v>
      </c>
      <c r="AE56">
        <v>8.6626378361647909</v>
      </c>
      <c r="AF56">
        <v>0.20999999999999908</v>
      </c>
      <c r="AG56">
        <v>1.1000000000000001</v>
      </c>
      <c r="AH56">
        <v>1.5050000000000008</v>
      </c>
      <c r="AI56">
        <v>5.5652347072472317</v>
      </c>
      <c r="AJ56">
        <v>29.151229418914198</v>
      </c>
      <c r="AK56" s="3">
        <v>39.884182068605355</v>
      </c>
      <c r="AL56" s="3"/>
      <c r="AM56" s="3"/>
    </row>
    <row r="57" spans="1:39" x14ac:dyDescent="0.35">
      <c r="A57" t="s">
        <v>147</v>
      </c>
      <c r="B57" t="s">
        <v>54</v>
      </c>
      <c r="C57" s="5" t="s">
        <v>261</v>
      </c>
      <c r="D57">
        <v>328211.7</v>
      </c>
      <c r="E57">
        <v>6156583.5</v>
      </c>
      <c r="F57" s="1">
        <v>1</v>
      </c>
      <c r="G57" t="s">
        <v>43</v>
      </c>
      <c r="H57" t="s">
        <v>95</v>
      </c>
      <c r="I57" t="s">
        <v>43</v>
      </c>
      <c r="J57" s="3">
        <v>5.51</v>
      </c>
      <c r="K57" s="4">
        <v>1.8318007796275921</v>
      </c>
      <c r="L57">
        <v>0.20040064875900387</v>
      </c>
      <c r="M57">
        <v>2.4138149582781705</v>
      </c>
      <c r="N57">
        <v>12.03915513397223</v>
      </c>
      <c r="O57" s="4">
        <v>2.6073898000000002E-2</v>
      </c>
      <c r="P57">
        <v>7.6250000000000012E-2</v>
      </c>
      <c r="Q57">
        <f t="shared" si="0"/>
        <v>18.657506923889237</v>
      </c>
      <c r="R57">
        <v>5.3125000000000006E-2</v>
      </c>
      <c r="S57">
        <f t="shared" si="1"/>
        <v>0.12937500000000002</v>
      </c>
      <c r="T57">
        <v>0.87062499999999998</v>
      </c>
      <c r="U57">
        <v>268617980.30715781</v>
      </c>
      <c r="V57">
        <v>54478250.842033699</v>
      </c>
      <c r="W57">
        <f t="shared" si="2"/>
        <v>0.20280939786584357</v>
      </c>
      <c r="X57">
        <v>0.61376512253958515</v>
      </c>
      <c r="Y57">
        <v>0.65756015237669185</v>
      </c>
      <c r="Z57">
        <v>0.68288908606549281</v>
      </c>
      <c r="AA57">
        <v>0.73568576669513164</v>
      </c>
      <c r="AB57">
        <v>0.82890746418839312</v>
      </c>
      <c r="AC57" t="s">
        <v>217</v>
      </c>
      <c r="AK57" s="3"/>
      <c r="AL57" s="3"/>
      <c r="AM57" s="3"/>
    </row>
    <row r="58" spans="1:39" x14ac:dyDescent="0.35">
      <c r="A58" t="s">
        <v>125</v>
      </c>
      <c r="B58" t="s">
        <v>56</v>
      </c>
      <c r="C58" s="5" t="s">
        <v>246</v>
      </c>
      <c r="D58">
        <v>314903.59999999998</v>
      </c>
      <c r="E58">
        <v>6129147.5</v>
      </c>
      <c r="F58">
        <v>2</v>
      </c>
      <c r="G58" t="s">
        <v>225</v>
      </c>
      <c r="H58" t="s">
        <v>95</v>
      </c>
      <c r="I58" t="s">
        <v>103</v>
      </c>
      <c r="J58" s="3">
        <v>6.16</v>
      </c>
      <c r="K58" s="3">
        <v>3.1346047938954147</v>
      </c>
      <c r="L58" s="3">
        <v>0.55337291876350581</v>
      </c>
      <c r="M58" s="3">
        <v>6.1293165330790558</v>
      </c>
      <c r="N58" s="3">
        <v>11.075688477639877</v>
      </c>
      <c r="O58" s="3">
        <v>6.4639218666666665E-2</v>
      </c>
      <c r="P58">
        <v>0.19187499999999999</v>
      </c>
      <c r="Q58">
        <f t="shared" si="0"/>
        <v>17.961367129901991</v>
      </c>
      <c r="R58">
        <v>0.14937500000000006</v>
      </c>
      <c r="S58">
        <f t="shared" si="1"/>
        <v>0.34125000000000005</v>
      </c>
      <c r="T58">
        <v>0.65874999999999995</v>
      </c>
      <c r="U58">
        <v>14621999435.399223</v>
      </c>
      <c r="V58">
        <v>30547.381918511928</v>
      </c>
      <c r="W58">
        <f t="shared" si="2"/>
        <v>2.089138496651699E-6</v>
      </c>
      <c r="X58">
        <v>0.55592821621999045</v>
      </c>
      <c r="Y58">
        <v>0.49185376030031985</v>
      </c>
      <c r="Z58">
        <v>0.40011498835269749</v>
      </c>
      <c r="AA58">
        <v>0.27827923489731715</v>
      </c>
      <c r="AB58">
        <v>0.27187198793071909</v>
      </c>
      <c r="AC58" t="s">
        <v>240</v>
      </c>
      <c r="AD58">
        <v>17.781933298173509</v>
      </c>
      <c r="AE58">
        <v>7.6027713083468944</v>
      </c>
      <c r="AF58">
        <v>0.87166666666667059</v>
      </c>
      <c r="AG58">
        <v>0.7591666666666681</v>
      </c>
      <c r="AH58">
        <v>1.8683333333333347</v>
      </c>
      <c r="AI58">
        <v>14.907450641391049</v>
      </c>
      <c r="AJ58">
        <v>12.983448885570951</v>
      </c>
      <c r="AK58" s="3">
        <v>31.952681011470947</v>
      </c>
      <c r="AL58" s="3"/>
      <c r="AM58" s="3"/>
    </row>
    <row r="59" spans="1:39" x14ac:dyDescent="0.35">
      <c r="A59" t="s">
        <v>149</v>
      </c>
      <c r="B59" t="s">
        <v>55</v>
      </c>
      <c r="C59" s="5" t="s">
        <v>246</v>
      </c>
      <c r="D59">
        <v>314903.59999999998</v>
      </c>
      <c r="E59">
        <v>6129147.5</v>
      </c>
      <c r="F59">
        <v>2</v>
      </c>
      <c r="G59" t="s">
        <v>225</v>
      </c>
      <c r="H59" t="s">
        <v>95</v>
      </c>
      <c r="I59" t="s">
        <v>104</v>
      </c>
      <c r="J59" s="3">
        <v>6.19</v>
      </c>
      <c r="K59" s="3">
        <v>2.1046869805003685</v>
      </c>
      <c r="L59" s="3">
        <v>0.29666032865924435</v>
      </c>
      <c r="M59" s="3">
        <v>3.2594744355003029</v>
      </c>
      <c r="N59" s="3">
        <v>10.974454091463118</v>
      </c>
      <c r="O59" s="3">
        <v>8.0604801000000004E-2</v>
      </c>
      <c r="P59">
        <v>0.13375000000000001</v>
      </c>
      <c r="Q59">
        <f t="shared" si="0"/>
        <v>9.5515734373635244</v>
      </c>
      <c r="R59">
        <v>0.20750000000000007</v>
      </c>
      <c r="S59">
        <f t="shared" si="1"/>
        <v>0.34125000000000005</v>
      </c>
      <c r="T59">
        <v>0.65874999999999995</v>
      </c>
      <c r="U59">
        <v>10247245064.795969</v>
      </c>
      <c r="V59">
        <v>10609898.270441772</v>
      </c>
      <c r="W59">
        <f t="shared" si="2"/>
        <v>1.0353903125525595E-3</v>
      </c>
      <c r="X59">
        <v>0.55592821621999045</v>
      </c>
      <c r="Y59">
        <v>0.49185376030031985</v>
      </c>
      <c r="Z59">
        <v>0.40011498835269749</v>
      </c>
      <c r="AA59">
        <v>0.27827923489731715</v>
      </c>
      <c r="AB59">
        <v>0.27187198793071909</v>
      </c>
      <c r="AC59" t="s">
        <v>240</v>
      </c>
      <c r="AD59">
        <v>17.330761521870706</v>
      </c>
      <c r="AE59">
        <v>9.5250526815512018</v>
      </c>
      <c r="AF59">
        <v>0.73666666666666691</v>
      </c>
      <c r="AG59">
        <v>1.8766666666666671</v>
      </c>
      <c r="AH59">
        <v>2.3616666666666659</v>
      </c>
      <c r="AI59">
        <v>16.194992470210437</v>
      </c>
      <c r="AJ59">
        <v>41.256926519133373</v>
      </c>
      <c r="AK59" s="3">
        <v>51.919240566262829</v>
      </c>
      <c r="AL59" s="3"/>
      <c r="AM59" s="3"/>
    </row>
    <row r="60" spans="1:39" x14ac:dyDescent="0.35">
      <c r="A60" t="s">
        <v>154</v>
      </c>
      <c r="B60" t="s">
        <v>58</v>
      </c>
      <c r="C60" s="5" t="s">
        <v>247</v>
      </c>
      <c r="D60">
        <v>311324</v>
      </c>
      <c r="E60">
        <v>6124637</v>
      </c>
      <c r="F60">
        <v>2</v>
      </c>
      <c r="G60" t="s">
        <v>225</v>
      </c>
      <c r="H60" t="s">
        <v>95</v>
      </c>
      <c r="I60" t="s">
        <v>105</v>
      </c>
      <c r="J60" s="3">
        <v>6.18</v>
      </c>
      <c r="K60" s="3">
        <v>4.4522480644620464</v>
      </c>
      <c r="L60" s="3">
        <v>0.58169629984307247</v>
      </c>
      <c r="M60" s="3">
        <v>5.8583507086351538</v>
      </c>
      <c r="N60" s="3">
        <v>10.067153100353471</v>
      </c>
      <c r="O60" s="3">
        <v>9.5458053666666667E-2</v>
      </c>
      <c r="P60">
        <v>0.14625000000000002</v>
      </c>
      <c r="Q60">
        <f t="shared" si="0"/>
        <v>12.787668668234987</v>
      </c>
      <c r="R60">
        <v>0.31187500000000001</v>
      </c>
      <c r="S60">
        <f t="shared" si="1"/>
        <v>0.458125</v>
      </c>
      <c r="T60">
        <v>0.541875</v>
      </c>
      <c r="U60">
        <v>9497921123.8397751</v>
      </c>
      <c r="V60">
        <v>2082306.391992833</v>
      </c>
      <c r="W60">
        <f t="shared" si="2"/>
        <v>2.192381221998407E-4</v>
      </c>
      <c r="X60">
        <v>0.31337608294794195</v>
      </c>
      <c r="Y60">
        <v>0.25145027478255194</v>
      </c>
      <c r="Z60">
        <v>0.45285291789002369</v>
      </c>
      <c r="AA60">
        <v>0.41435543800134295</v>
      </c>
      <c r="AB60">
        <v>0.41958575326236969</v>
      </c>
      <c r="AC60" t="s">
        <v>241</v>
      </c>
      <c r="AD60">
        <v>11.431796019459949</v>
      </c>
      <c r="AE60">
        <v>5.4488879884323183</v>
      </c>
      <c r="AF60">
        <v>0.30249999999999949</v>
      </c>
      <c r="AG60">
        <v>1.0383333333333356</v>
      </c>
      <c r="AH60">
        <v>2.4675000000000002</v>
      </c>
      <c r="AI60">
        <v>5.7673828808524901</v>
      </c>
      <c r="AJ60">
        <v>19.796581458794019</v>
      </c>
      <c r="AK60" s="3">
        <v>47.044685152077825</v>
      </c>
      <c r="AL60" s="3"/>
      <c r="AM60" s="3"/>
    </row>
    <row r="61" spans="1:39" x14ac:dyDescent="0.35">
      <c r="A61" t="s">
        <v>155</v>
      </c>
      <c r="B61" t="s">
        <v>57</v>
      </c>
      <c r="C61" s="5" t="s">
        <v>247</v>
      </c>
      <c r="D61">
        <v>311324</v>
      </c>
      <c r="E61">
        <v>6124637</v>
      </c>
      <c r="F61">
        <v>2</v>
      </c>
      <c r="G61" t="s">
        <v>225</v>
      </c>
      <c r="H61" t="s">
        <v>95</v>
      </c>
      <c r="I61" t="s">
        <v>106</v>
      </c>
      <c r="J61" s="3">
        <v>6.1</v>
      </c>
      <c r="K61" s="3">
        <v>2.6178253814932497</v>
      </c>
      <c r="L61" s="3">
        <v>0.35110968358655842</v>
      </c>
      <c r="M61" s="3">
        <v>2.7639154548439944</v>
      </c>
      <c r="N61" s="3">
        <v>7.872639645262498</v>
      </c>
      <c r="O61" s="3">
        <v>5.5144268666666663E-2</v>
      </c>
      <c r="P61">
        <v>0.18375000000000002</v>
      </c>
      <c r="Q61">
        <f t="shared" si="0"/>
        <v>5.0253008269890804</v>
      </c>
      <c r="R61">
        <v>0.36625000000000002</v>
      </c>
      <c r="S61">
        <f t="shared" si="1"/>
        <v>0.55000000000000004</v>
      </c>
      <c r="T61">
        <v>0.44999999999999996</v>
      </c>
      <c r="U61">
        <v>9400078528.7029819</v>
      </c>
      <c r="V61">
        <v>8257922.9647559896</v>
      </c>
      <c r="W61">
        <f t="shared" si="2"/>
        <v>8.7849510400796768E-4</v>
      </c>
      <c r="X61">
        <v>0.31337608294794195</v>
      </c>
      <c r="Y61">
        <v>0.25145027478255194</v>
      </c>
      <c r="Z61">
        <v>0.45285291789002369</v>
      </c>
      <c r="AA61">
        <v>0.41435543800134295</v>
      </c>
      <c r="AB61">
        <v>0.41958575326236969</v>
      </c>
      <c r="AC61" t="s">
        <v>241</v>
      </c>
      <c r="AD61">
        <v>13.373691997042409</v>
      </c>
      <c r="AE61">
        <v>8.0015511327421169</v>
      </c>
      <c r="AF61">
        <v>1.83</v>
      </c>
      <c r="AG61">
        <v>0.58750000000000191</v>
      </c>
      <c r="AH61">
        <v>1.4141666666666672</v>
      </c>
      <c r="AI61">
        <v>43.795949768115896</v>
      </c>
      <c r="AJ61">
        <v>14.060175130474411</v>
      </c>
      <c r="AK61" s="3">
        <v>33.844137867255334</v>
      </c>
      <c r="AL61" s="3"/>
      <c r="AM61" s="3"/>
    </row>
    <row r="62" spans="1:39" x14ac:dyDescent="0.35">
      <c r="A62" t="s">
        <v>136</v>
      </c>
      <c r="B62" t="s">
        <v>60</v>
      </c>
      <c r="C62" s="5" t="s">
        <v>248</v>
      </c>
      <c r="D62">
        <v>323050</v>
      </c>
      <c r="E62">
        <v>6124499</v>
      </c>
      <c r="F62">
        <v>2</v>
      </c>
      <c r="G62" t="s">
        <v>225</v>
      </c>
      <c r="H62" t="s">
        <v>95</v>
      </c>
      <c r="I62" t="s">
        <v>107</v>
      </c>
      <c r="J62" s="3">
        <v>5.78</v>
      </c>
      <c r="K62" s="3">
        <v>2.7468050865310834</v>
      </c>
      <c r="L62" s="3">
        <v>0.47413896483817214</v>
      </c>
      <c r="M62" s="3">
        <v>5.167697955909329</v>
      </c>
      <c r="N62" s="3">
        <v>10.910205177841378</v>
      </c>
      <c r="O62" s="3">
        <v>9.9352605666666663E-2</v>
      </c>
      <c r="P62">
        <v>0.18375000000000002</v>
      </c>
      <c r="Q62">
        <f t="shared" si="0"/>
        <v>9.0562067135322319</v>
      </c>
      <c r="R62">
        <v>0.38687499999999986</v>
      </c>
      <c r="S62">
        <f t="shared" si="1"/>
        <v>0.57062499999999994</v>
      </c>
      <c r="T62">
        <v>0.42937500000000006</v>
      </c>
      <c r="U62">
        <v>6169505482.0126791</v>
      </c>
      <c r="V62">
        <v>2391452.1871640622</v>
      </c>
      <c r="W62">
        <f t="shared" si="2"/>
        <v>3.8762461499327466E-4</v>
      </c>
      <c r="X62">
        <v>0.38477299041896618</v>
      </c>
      <c r="Y62">
        <v>0.60726670652862591</v>
      </c>
      <c r="Z62">
        <v>0.66616978671903515</v>
      </c>
      <c r="AA62">
        <v>0.80027370739079839</v>
      </c>
      <c r="AB62">
        <v>0.85934985775928396</v>
      </c>
      <c r="AC62" t="s">
        <v>241</v>
      </c>
      <c r="AD62">
        <v>12.640244490754457</v>
      </c>
      <c r="AE62">
        <v>6.9522122962146806</v>
      </c>
      <c r="AF62">
        <v>0.24499999999999891</v>
      </c>
      <c r="AG62">
        <v>1.2250000000000021</v>
      </c>
      <c r="AH62">
        <v>2.6608333333333332</v>
      </c>
      <c r="AI62">
        <v>5.3900603388437309</v>
      </c>
      <c r="AJ62">
        <v>26.950301694218819</v>
      </c>
      <c r="AK62" s="3">
        <v>58.538988646013983</v>
      </c>
      <c r="AL62" s="3"/>
      <c r="AM62" s="3"/>
    </row>
    <row r="63" spans="1:39" x14ac:dyDescent="0.35">
      <c r="A63" t="s">
        <v>156</v>
      </c>
      <c r="B63" t="s">
        <v>59</v>
      </c>
      <c r="C63" s="5" t="s">
        <v>248</v>
      </c>
      <c r="D63">
        <v>323050</v>
      </c>
      <c r="E63">
        <v>6124499</v>
      </c>
      <c r="F63">
        <v>2</v>
      </c>
      <c r="G63" t="s">
        <v>225</v>
      </c>
      <c r="H63" t="s">
        <v>95</v>
      </c>
      <c r="I63" t="s">
        <v>108</v>
      </c>
      <c r="J63" s="3">
        <v>6.04</v>
      </c>
      <c r="K63" s="3">
        <v>2.2659614214453501</v>
      </c>
      <c r="L63" s="3">
        <v>0.33056761375190918</v>
      </c>
      <c r="M63" s="3">
        <v>3.358526392684547</v>
      </c>
      <c r="N63" s="3">
        <v>10.158725246390638</v>
      </c>
      <c r="O63" s="3">
        <v>0.10741107099999998</v>
      </c>
      <c r="P63">
        <v>0.17937500000000001</v>
      </c>
      <c r="Q63">
        <f t="shared" si="0"/>
        <v>6.5056201311080804</v>
      </c>
      <c r="R63">
        <v>0.33687500000000009</v>
      </c>
      <c r="S63">
        <f t="shared" si="1"/>
        <v>0.5162500000000001</v>
      </c>
      <c r="T63">
        <v>0.4837499999999999</v>
      </c>
      <c r="U63">
        <v>9933810976.7592354</v>
      </c>
      <c r="V63">
        <v>2964840.6998592913</v>
      </c>
      <c r="W63">
        <f t="shared" si="2"/>
        <v>2.9845954455905388E-4</v>
      </c>
      <c r="X63">
        <v>0.38477299041896618</v>
      </c>
      <c r="Y63">
        <v>0.60726670652862591</v>
      </c>
      <c r="Z63">
        <v>0.66616978671903515</v>
      </c>
      <c r="AA63">
        <v>0.80027370739079839</v>
      </c>
      <c r="AB63">
        <v>0.85934985775928396</v>
      </c>
      <c r="AC63" t="s">
        <v>241</v>
      </c>
      <c r="AD63">
        <v>11.728007561078778</v>
      </c>
      <c r="AE63">
        <v>9.363599598114158</v>
      </c>
      <c r="AF63">
        <v>1.0533333333333357</v>
      </c>
      <c r="AG63">
        <v>1.77833333333333</v>
      </c>
      <c r="AH63">
        <v>2.3983333333333321</v>
      </c>
      <c r="AI63">
        <v>33.639103744824119</v>
      </c>
      <c r="AJ63">
        <v>56.792600784378465</v>
      </c>
      <c r="AK63" s="3">
        <v>76.592832735445839</v>
      </c>
      <c r="AL63" s="3"/>
      <c r="AM63" s="3"/>
    </row>
    <row r="64" spans="1:39" x14ac:dyDescent="0.35">
      <c r="A64" t="s">
        <v>157</v>
      </c>
      <c r="B64" t="s">
        <v>98</v>
      </c>
      <c r="C64" s="5" t="s">
        <v>262</v>
      </c>
      <c r="D64">
        <v>323150</v>
      </c>
      <c r="E64">
        <v>6124539</v>
      </c>
      <c r="F64">
        <v>2</v>
      </c>
      <c r="G64" t="s">
        <v>43</v>
      </c>
      <c r="H64" t="s">
        <v>95</v>
      </c>
      <c r="I64" t="s">
        <v>43</v>
      </c>
      <c r="J64" s="3">
        <v>6.03</v>
      </c>
      <c r="K64" s="4">
        <v>1.4285065629503546</v>
      </c>
      <c r="L64">
        <v>0.25635584025429198</v>
      </c>
      <c r="M64">
        <v>1.9808700225738907</v>
      </c>
      <c r="N64">
        <v>7.8071384096529215</v>
      </c>
      <c r="O64" s="4">
        <v>5.6501455666666672E-2</v>
      </c>
      <c r="P64">
        <v>0.17624999999999999</v>
      </c>
      <c r="Q64">
        <f t="shared" si="0"/>
        <v>5.6596286359254027</v>
      </c>
      <c r="R64">
        <v>0.17374999999999999</v>
      </c>
      <c r="S64">
        <f t="shared" si="1"/>
        <v>0.35</v>
      </c>
      <c r="T64">
        <v>0.65</v>
      </c>
      <c r="U64">
        <v>12475316819.905979</v>
      </c>
      <c r="V64">
        <v>37555624.782788686</v>
      </c>
      <c r="W64">
        <f t="shared" si="2"/>
        <v>3.0103944713342941E-3</v>
      </c>
      <c r="X64">
        <v>0.84937810029282701</v>
      </c>
      <c r="Y64">
        <v>0.77656516710156298</v>
      </c>
      <c r="Z64">
        <v>0.73903606228102603</v>
      </c>
      <c r="AA64">
        <v>0.82561945038806894</v>
      </c>
      <c r="AB64">
        <v>0.86005905218570144</v>
      </c>
      <c r="AC64" t="s">
        <v>217</v>
      </c>
      <c r="AD64">
        <v>12.489293692656505</v>
      </c>
      <c r="AE64">
        <v>3.3642350086401382</v>
      </c>
      <c r="AF64">
        <v>0.6308333333333328</v>
      </c>
      <c r="AG64">
        <v>1.3416666666666675</v>
      </c>
      <c r="AH64">
        <v>1.1466666666666663</v>
      </c>
      <c r="AI64">
        <v>6.7970908102353702</v>
      </c>
      <c r="AJ64">
        <v>14.45616407460893</v>
      </c>
      <c r="AK64" s="3">
        <v>12.355081842647122</v>
      </c>
      <c r="AL64" s="3"/>
      <c r="AM64" s="3"/>
    </row>
    <row r="65" spans="1:39" x14ac:dyDescent="0.35">
      <c r="A65" t="s">
        <v>158</v>
      </c>
      <c r="B65" t="s">
        <v>61</v>
      </c>
      <c r="C65" s="5" t="s">
        <v>262</v>
      </c>
      <c r="D65">
        <v>323150</v>
      </c>
      <c r="E65">
        <v>6124539</v>
      </c>
      <c r="F65" s="1">
        <v>2</v>
      </c>
      <c r="G65" t="s">
        <v>43</v>
      </c>
      <c r="H65" t="s">
        <v>95</v>
      </c>
      <c r="I65" t="s">
        <v>43</v>
      </c>
      <c r="J65" s="3">
        <v>5.75</v>
      </c>
      <c r="K65" s="4">
        <v>4.3780055627154519</v>
      </c>
      <c r="L65">
        <v>0.70146599372012297</v>
      </c>
      <c r="M65">
        <v>10.592729812555719</v>
      </c>
      <c r="N65">
        <v>15.107070611027993</v>
      </c>
      <c r="O65" s="4">
        <v>8.2807020666666675E-2</v>
      </c>
      <c r="P65">
        <v>0.15125000000000002</v>
      </c>
      <c r="Q65">
        <f t="shared" si="0"/>
        <v>30.264942321587764</v>
      </c>
      <c r="R65">
        <v>0.19875000000000001</v>
      </c>
      <c r="S65">
        <f t="shared" si="1"/>
        <v>0.35000000000000003</v>
      </c>
      <c r="T65">
        <v>0.65</v>
      </c>
      <c r="U65">
        <v>96465.97851481926</v>
      </c>
      <c r="V65">
        <v>210365400.31673253</v>
      </c>
      <c r="W65">
        <f t="shared" si="2"/>
        <v>2180.7211574017865</v>
      </c>
      <c r="X65">
        <v>0.84937810029282701</v>
      </c>
      <c r="Y65">
        <v>0.77656516710156298</v>
      </c>
      <c r="Z65">
        <v>0.73903606228102603</v>
      </c>
      <c r="AA65">
        <v>0.82561945038806894</v>
      </c>
      <c r="AB65">
        <v>0.86005905218570144</v>
      </c>
      <c r="AC65" t="s">
        <v>217</v>
      </c>
      <c r="AK65" s="3"/>
      <c r="AL65" s="3"/>
      <c r="AM65" s="3"/>
    </row>
    <row r="66" spans="1:39" x14ac:dyDescent="0.35">
      <c r="A66" t="s">
        <v>127</v>
      </c>
      <c r="B66" t="s">
        <v>63</v>
      </c>
      <c r="C66" s="5" t="s">
        <v>249</v>
      </c>
      <c r="D66">
        <v>303660</v>
      </c>
      <c r="E66">
        <v>6110061</v>
      </c>
      <c r="F66">
        <v>3</v>
      </c>
      <c r="G66" t="s">
        <v>225</v>
      </c>
      <c r="H66" t="s">
        <v>95</v>
      </c>
      <c r="I66" t="s">
        <v>103</v>
      </c>
      <c r="J66" s="3">
        <v>6.09</v>
      </c>
      <c r="K66" s="3">
        <v>2.886781320518272</v>
      </c>
      <c r="L66" s="3">
        <v>0.45991812339062071</v>
      </c>
      <c r="M66" s="3">
        <v>4.9077869625524233</v>
      </c>
      <c r="N66" s="3">
        <v>10.693253208822854</v>
      </c>
      <c r="O66" s="3">
        <v>0.10739387666666667</v>
      </c>
      <c r="P66">
        <v>0.20437500000000003</v>
      </c>
      <c r="Q66">
        <f t="shared" si="0"/>
        <v>9.0675047806973179</v>
      </c>
      <c r="R66">
        <v>0.33687499999999998</v>
      </c>
      <c r="S66">
        <f t="shared" si="1"/>
        <v>0.54125000000000001</v>
      </c>
      <c r="T66">
        <v>0.45874999999999999</v>
      </c>
      <c r="U66">
        <v>12389492936.054287</v>
      </c>
      <c r="V66">
        <v>2838030.2870435333</v>
      </c>
      <c r="W66">
        <f t="shared" si="2"/>
        <v>2.290675091943971E-4</v>
      </c>
      <c r="X66">
        <v>9.6989022320201013E-2</v>
      </c>
      <c r="Y66">
        <v>0.16028517746392404</v>
      </c>
      <c r="Z66">
        <v>0.2488404443862938</v>
      </c>
      <c r="AA66">
        <v>0.22014852855277478</v>
      </c>
      <c r="AB66">
        <v>0.37737261660747473</v>
      </c>
      <c r="AC66" t="s">
        <v>240</v>
      </c>
      <c r="AD66">
        <v>13.4658791621587</v>
      </c>
      <c r="AE66">
        <v>5.5498414365410254</v>
      </c>
      <c r="AF66">
        <v>0.53916666666666646</v>
      </c>
      <c r="AG66">
        <v>1.4925000000000004</v>
      </c>
      <c r="AH66">
        <v>2.3008333333333337</v>
      </c>
      <c r="AI66">
        <v>8.8885084199394466</v>
      </c>
      <c r="AJ66">
        <v>24.604820061996222</v>
      </c>
      <c r="AK66" s="3">
        <v>37.930713674579323</v>
      </c>
      <c r="AL66" s="3"/>
      <c r="AM66" s="3"/>
    </row>
    <row r="67" spans="1:39" x14ac:dyDescent="0.35">
      <c r="A67" t="s">
        <v>159</v>
      </c>
      <c r="B67" t="s">
        <v>62</v>
      </c>
      <c r="C67" s="5" t="s">
        <v>249</v>
      </c>
      <c r="D67">
        <v>303660</v>
      </c>
      <c r="E67">
        <v>6110061</v>
      </c>
      <c r="F67">
        <v>3</v>
      </c>
      <c r="G67" t="s">
        <v>225</v>
      </c>
      <c r="H67" t="s">
        <v>95</v>
      </c>
      <c r="I67" t="s">
        <v>104</v>
      </c>
      <c r="J67" s="3">
        <v>6.77</v>
      </c>
      <c r="K67" s="3">
        <v>2.4207431349130069</v>
      </c>
      <c r="L67" s="3">
        <v>0.36465128278623543</v>
      </c>
      <c r="M67" s="3">
        <v>3.4209624736899209</v>
      </c>
      <c r="N67" s="3">
        <v>9.3732876000071457</v>
      </c>
      <c r="O67" s="3">
        <v>0.12677734733333335</v>
      </c>
      <c r="P67">
        <v>0.20875000000000005</v>
      </c>
      <c r="Q67">
        <f t="shared" ref="Q67:Q130" si="3">M67/SUM(P67,R67)</f>
        <v>7.3966756187890175</v>
      </c>
      <c r="R67">
        <v>0.25374999999999998</v>
      </c>
      <c r="S67">
        <f t="shared" ref="S67:S130" si="4">P67+R67</f>
        <v>0.46250000000000002</v>
      </c>
      <c r="T67">
        <v>0.53749999999999998</v>
      </c>
      <c r="U67">
        <v>12692486549.100298</v>
      </c>
      <c r="V67">
        <v>66535498.109954186</v>
      </c>
      <c r="W67">
        <f t="shared" ref="W67:W130" si="5">V67/U67</f>
        <v>5.242116889591703E-3</v>
      </c>
      <c r="X67">
        <v>9.6989022320201013E-2</v>
      </c>
      <c r="Y67">
        <v>0.16028517746392404</v>
      </c>
      <c r="Z67">
        <v>0.2488404443862938</v>
      </c>
      <c r="AA67">
        <v>0.22014852855277478</v>
      </c>
      <c r="AB67">
        <v>0.37737261660747473</v>
      </c>
      <c r="AC67" t="s">
        <v>240</v>
      </c>
      <c r="AD67">
        <v>12.695344003262299</v>
      </c>
      <c r="AE67">
        <v>7.6801198709779346</v>
      </c>
      <c r="AF67">
        <v>0.38166666666666532</v>
      </c>
      <c r="AG67">
        <v>1.4166666666666643</v>
      </c>
      <c r="AH67">
        <v>1.4916666666666689</v>
      </c>
      <c r="AI67">
        <v>9.2356560011397288</v>
      </c>
      <c r="AJ67">
        <v>34.280819218204293</v>
      </c>
      <c r="AK67" s="3">
        <v>36.095686117991697</v>
      </c>
      <c r="AL67" s="3"/>
      <c r="AM67" s="3"/>
    </row>
    <row r="68" spans="1:39" x14ac:dyDescent="0.35">
      <c r="A68" t="s">
        <v>122</v>
      </c>
      <c r="B68" t="s">
        <v>65</v>
      </c>
      <c r="C68" s="5" t="s">
        <v>250</v>
      </c>
      <c r="D68">
        <v>305744</v>
      </c>
      <c r="E68">
        <v>6115148</v>
      </c>
      <c r="F68">
        <v>3</v>
      </c>
      <c r="G68" t="s">
        <v>225</v>
      </c>
      <c r="H68" t="s">
        <v>95</v>
      </c>
      <c r="I68" t="s">
        <v>105</v>
      </c>
      <c r="J68" s="3">
        <v>6.22</v>
      </c>
      <c r="K68" s="3">
        <v>3.637352344260091</v>
      </c>
      <c r="L68" s="3">
        <v>0.6494293480384683</v>
      </c>
      <c r="M68" s="3">
        <v>7.3273120587168963</v>
      </c>
      <c r="N68" s="3">
        <v>11.27920008892332</v>
      </c>
      <c r="O68" s="3">
        <v>9.1238009999999994E-2</v>
      </c>
      <c r="P68">
        <v>0.12125000000000002</v>
      </c>
      <c r="Q68">
        <f t="shared" si="3"/>
        <v>17.240734255804458</v>
      </c>
      <c r="R68">
        <v>0.30375000000000002</v>
      </c>
      <c r="S68">
        <f t="shared" si="4"/>
        <v>0.42500000000000004</v>
      </c>
      <c r="T68">
        <v>0.57499999999999996</v>
      </c>
      <c r="U68">
        <v>5524354430.6624279</v>
      </c>
      <c r="V68">
        <v>12052640.571955003</v>
      </c>
      <c r="W68">
        <f t="shared" si="5"/>
        <v>2.1817283310169087E-3</v>
      </c>
      <c r="X68">
        <v>0.1724284653457594</v>
      </c>
      <c r="Y68">
        <v>0.22758520751664488</v>
      </c>
      <c r="Z68">
        <v>0.27100817002074939</v>
      </c>
      <c r="AA68">
        <v>0.36648449590827648</v>
      </c>
      <c r="AB68">
        <v>0.33946333519127536</v>
      </c>
      <c r="AC68" t="s">
        <v>240</v>
      </c>
      <c r="AD68">
        <v>13.816347833952786</v>
      </c>
      <c r="AE68">
        <v>4.830114598644931</v>
      </c>
      <c r="AF68">
        <v>0.48333333333333189</v>
      </c>
      <c r="AG68">
        <v>1.7083333333333339</v>
      </c>
      <c r="AH68">
        <v>2.62</v>
      </c>
      <c r="AI68">
        <v>6.758820543321943</v>
      </c>
      <c r="AJ68">
        <v>23.888934678982807</v>
      </c>
      <c r="AK68" s="3">
        <v>36.637468600352157</v>
      </c>
      <c r="AL68" s="3"/>
      <c r="AM68" s="3"/>
    </row>
    <row r="69" spans="1:39" x14ac:dyDescent="0.35">
      <c r="A69" t="s">
        <v>160</v>
      </c>
      <c r="B69" t="s">
        <v>64</v>
      </c>
      <c r="C69" s="5" t="s">
        <v>250</v>
      </c>
      <c r="D69">
        <v>305744</v>
      </c>
      <c r="E69">
        <v>6115148</v>
      </c>
      <c r="F69">
        <v>3</v>
      </c>
      <c r="G69" t="s">
        <v>225</v>
      </c>
      <c r="H69" t="s">
        <v>95</v>
      </c>
      <c r="I69" t="s">
        <v>106</v>
      </c>
      <c r="J69" s="3">
        <v>6.02</v>
      </c>
      <c r="K69" s="3">
        <v>4.1062430604502111</v>
      </c>
      <c r="L69" s="3">
        <v>0.67823578821791397</v>
      </c>
      <c r="M69" s="3">
        <v>8.9993453069302429</v>
      </c>
      <c r="N69" s="3">
        <v>13.268651205721637</v>
      </c>
      <c r="O69" s="3">
        <v>9.0333382099999984E-2</v>
      </c>
      <c r="P69">
        <v>0.141875</v>
      </c>
      <c r="Q69">
        <f t="shared" si="3"/>
        <v>21.620048785417996</v>
      </c>
      <c r="R69">
        <v>0.27437500000000009</v>
      </c>
      <c r="S69">
        <f t="shared" si="4"/>
        <v>0.41625000000000012</v>
      </c>
      <c r="T69">
        <v>0.58374999999999988</v>
      </c>
      <c r="U69">
        <v>12432330819.893133</v>
      </c>
      <c r="V69">
        <v>13943228.090455838</v>
      </c>
      <c r="W69">
        <f t="shared" si="5"/>
        <v>1.1215296867860931E-3</v>
      </c>
      <c r="X69">
        <v>0.1724284653457594</v>
      </c>
      <c r="Y69">
        <v>0.22758520751664488</v>
      </c>
      <c r="Z69">
        <v>0.27100817002074939</v>
      </c>
      <c r="AA69">
        <v>0.36648449590827648</v>
      </c>
      <c r="AB69">
        <v>0.33946333519127536</v>
      </c>
      <c r="AC69" t="s">
        <v>240</v>
      </c>
      <c r="AD69">
        <v>18.594840207953514</v>
      </c>
      <c r="AE69">
        <v>6.4301824143062714</v>
      </c>
      <c r="AF69">
        <v>0.26999999999999524</v>
      </c>
      <c r="AG69">
        <v>1.0300000000000014</v>
      </c>
      <c r="AH69">
        <v>1.2666666666666677</v>
      </c>
      <c r="AI69">
        <v>2.4897935591402249</v>
      </c>
      <c r="AJ69">
        <v>14.247152032858224</v>
      </c>
      <c r="AK69" s="3">
        <v>17.520769490246352</v>
      </c>
      <c r="AL69" s="3"/>
      <c r="AM69" s="3"/>
    </row>
    <row r="70" spans="1:39" x14ac:dyDescent="0.35">
      <c r="A70" t="s">
        <v>123</v>
      </c>
      <c r="B70" t="s">
        <v>67</v>
      </c>
      <c r="C70" s="5" t="s">
        <v>251</v>
      </c>
      <c r="D70">
        <v>313940.99999999988</v>
      </c>
      <c r="E70">
        <v>6115867.0999999996</v>
      </c>
      <c r="F70">
        <v>3</v>
      </c>
      <c r="G70" t="s">
        <v>225</v>
      </c>
      <c r="H70" t="s">
        <v>95</v>
      </c>
      <c r="I70" t="s">
        <v>107</v>
      </c>
      <c r="J70" s="3">
        <v>5.87</v>
      </c>
      <c r="K70" s="3">
        <v>2.6310482150704444</v>
      </c>
      <c r="L70" s="3">
        <v>0.23638157402054297</v>
      </c>
      <c r="M70" s="3">
        <v>3.0517820511649103</v>
      </c>
      <c r="N70" s="3">
        <v>12.867370467420534</v>
      </c>
      <c r="O70" s="3">
        <v>5.8651316333333335E-2</v>
      </c>
      <c r="P70">
        <v>0.17937500000000001</v>
      </c>
      <c r="Q70">
        <f t="shared" si="3"/>
        <v>7.800081919910312</v>
      </c>
      <c r="R70">
        <v>0.21187500000000006</v>
      </c>
      <c r="S70">
        <f t="shared" si="4"/>
        <v>0.3912500000000001</v>
      </c>
      <c r="T70">
        <v>0.6087499999999999</v>
      </c>
      <c r="U70">
        <v>6842599533.8525028</v>
      </c>
      <c r="V70">
        <v>31074884.781988911</v>
      </c>
      <c r="W70">
        <f t="shared" si="5"/>
        <v>4.5413858619449575E-3</v>
      </c>
      <c r="X70">
        <v>0.17112339481240588</v>
      </c>
      <c r="Y70">
        <v>0.31212472784450168</v>
      </c>
      <c r="Z70">
        <v>0.60044391109857309</v>
      </c>
      <c r="AA70">
        <v>0.72197202186867537</v>
      </c>
      <c r="AB70">
        <v>0.80708938413855669</v>
      </c>
      <c r="AC70" t="s">
        <v>241</v>
      </c>
      <c r="AD70">
        <v>17.115032047585206</v>
      </c>
      <c r="AE70">
        <v>7.6905963343737245</v>
      </c>
      <c r="AF70">
        <v>0.59416666666666684</v>
      </c>
      <c r="AG70">
        <v>1.0825000000000011</v>
      </c>
      <c r="AH70">
        <v>1.5200000000000011</v>
      </c>
      <c r="AI70">
        <v>10.679491515923729</v>
      </c>
      <c r="AJ70">
        <v>19.456745412601588</v>
      </c>
      <c r="AK70" s="3">
        <v>27.320326122082587</v>
      </c>
      <c r="AL70" s="3"/>
      <c r="AM70" s="3"/>
    </row>
    <row r="71" spans="1:39" x14ac:dyDescent="0.35">
      <c r="A71" t="s">
        <v>151</v>
      </c>
      <c r="B71" t="s">
        <v>66</v>
      </c>
      <c r="C71" s="5" t="s">
        <v>251</v>
      </c>
      <c r="D71">
        <v>313940.99999999988</v>
      </c>
      <c r="E71">
        <v>6115867.0999999996</v>
      </c>
      <c r="F71">
        <v>3</v>
      </c>
      <c r="G71" t="s">
        <v>225</v>
      </c>
      <c r="H71" t="s">
        <v>95</v>
      </c>
      <c r="I71" t="s">
        <v>108</v>
      </c>
      <c r="J71" s="3">
        <v>5.75</v>
      </c>
      <c r="K71" s="3">
        <v>2.2506663538459839</v>
      </c>
      <c r="L71" s="3">
        <v>0.15296685711020033</v>
      </c>
      <c r="M71" s="3">
        <v>1.9616425849426637</v>
      </c>
      <c r="N71" s="3">
        <v>12.82918980742002</v>
      </c>
      <c r="O71" s="3">
        <v>5.8674180999999999E-2</v>
      </c>
      <c r="P71">
        <v>0.22125000000000003</v>
      </c>
      <c r="Q71">
        <f t="shared" si="3"/>
        <v>3.2694043082377728</v>
      </c>
      <c r="R71">
        <v>0.37874999999999998</v>
      </c>
      <c r="S71">
        <f t="shared" si="4"/>
        <v>0.6</v>
      </c>
      <c r="T71">
        <v>0.4</v>
      </c>
      <c r="U71">
        <v>3650887563.6861897</v>
      </c>
      <c r="V71">
        <v>103767379.18469946</v>
      </c>
      <c r="W71">
        <f t="shared" si="5"/>
        <v>2.8422507506620859E-2</v>
      </c>
      <c r="X71">
        <v>0.17112339481240588</v>
      </c>
      <c r="Y71">
        <v>0.31212472784450168</v>
      </c>
      <c r="Z71">
        <v>0.60044391109857309</v>
      </c>
      <c r="AA71">
        <v>0.72197202186867537</v>
      </c>
      <c r="AB71">
        <v>0.80708938413855669</v>
      </c>
      <c r="AC71" t="s">
        <v>241</v>
      </c>
      <c r="AD71">
        <v>19.216408344698539</v>
      </c>
      <c r="AE71">
        <v>21.25052707623275</v>
      </c>
      <c r="AF71">
        <v>0.13083333333333189</v>
      </c>
      <c r="AG71">
        <v>0.34666666666666551</v>
      </c>
      <c r="AH71">
        <v>1.2083333333333346</v>
      </c>
      <c r="AI71">
        <v>5.7872985265548484</v>
      </c>
      <c r="AJ71">
        <v>15.334498006667738</v>
      </c>
      <c r="AK71" s="3">
        <v>53.449572379010384</v>
      </c>
      <c r="AL71" s="3"/>
      <c r="AM71" s="3"/>
    </row>
    <row r="72" spans="1:39" x14ac:dyDescent="0.35">
      <c r="A72" t="s">
        <v>161</v>
      </c>
      <c r="B72" t="s">
        <v>68</v>
      </c>
      <c r="C72" s="5" t="s">
        <v>263</v>
      </c>
      <c r="D72">
        <v>314062</v>
      </c>
      <c r="E72">
        <v>6115765.0000000009</v>
      </c>
      <c r="F72">
        <v>3</v>
      </c>
      <c r="G72" t="s">
        <v>43</v>
      </c>
      <c r="H72" t="s">
        <v>95</v>
      </c>
      <c r="I72" t="s">
        <v>43</v>
      </c>
      <c r="J72" s="3">
        <v>5.84</v>
      </c>
      <c r="K72" s="4">
        <v>3.4939526270721042</v>
      </c>
      <c r="L72">
        <v>0.29037680413478667</v>
      </c>
      <c r="M72">
        <v>6.259730970645081</v>
      </c>
      <c r="N72">
        <v>21.581463045084053</v>
      </c>
      <c r="O72" s="4">
        <v>7.1962099333333349E-2</v>
      </c>
      <c r="P72">
        <v>0.17125000000000001</v>
      </c>
      <c r="Q72">
        <f t="shared" si="3"/>
        <v>15.999312385035347</v>
      </c>
      <c r="R72">
        <v>0.22000000000000008</v>
      </c>
      <c r="S72">
        <f t="shared" si="4"/>
        <v>0.3912500000000001</v>
      </c>
      <c r="T72">
        <v>0.6087499999999999</v>
      </c>
      <c r="U72">
        <v>8956640086.1528072</v>
      </c>
      <c r="V72">
        <v>80411632.071494803</v>
      </c>
      <c r="W72">
        <f t="shared" si="5"/>
        <v>8.977879126326983E-3</v>
      </c>
      <c r="X72">
        <v>0.84940993128144537</v>
      </c>
      <c r="Y72">
        <v>0.61241028361890704</v>
      </c>
      <c r="Z72">
        <v>0.64829080678959772</v>
      </c>
      <c r="AA72">
        <v>0.73396339190099114</v>
      </c>
      <c r="AB72">
        <v>0.80703213928862538</v>
      </c>
      <c r="AC72" t="s">
        <v>217</v>
      </c>
      <c r="AD72">
        <v>17.393788935225686</v>
      </c>
      <c r="AE72">
        <v>3.0761086656094001</v>
      </c>
      <c r="AF72">
        <v>0.57999999999999996</v>
      </c>
      <c r="AG72">
        <v>1.2800000000000007</v>
      </c>
      <c r="AH72">
        <v>1.1216666666666673</v>
      </c>
      <c r="AI72">
        <v>2.7352951986828313</v>
      </c>
      <c r="AJ72">
        <v>9.0547703128811019</v>
      </c>
      <c r="AK72" s="3">
        <v>7.9347140892825285</v>
      </c>
      <c r="AL72" s="3"/>
      <c r="AM72" s="3"/>
    </row>
    <row r="73" spans="1:39" x14ac:dyDescent="0.35">
      <c r="A73" t="s">
        <v>162</v>
      </c>
      <c r="B73" t="s">
        <v>69</v>
      </c>
      <c r="C73" s="5" t="s">
        <v>263</v>
      </c>
      <c r="D73">
        <v>314062</v>
      </c>
      <c r="E73">
        <v>6115765.0000000009</v>
      </c>
      <c r="F73" s="1">
        <v>3</v>
      </c>
      <c r="G73" t="s">
        <v>43</v>
      </c>
      <c r="H73" t="s">
        <v>95</v>
      </c>
      <c r="I73" t="s">
        <v>43</v>
      </c>
      <c r="J73" s="3">
        <v>5.24</v>
      </c>
      <c r="K73" s="4">
        <v>3.676491591160628</v>
      </c>
      <c r="L73">
        <v>0.33250202464610973</v>
      </c>
      <c r="M73">
        <v>7.2484257284948903</v>
      </c>
      <c r="N73">
        <v>21.752202665870513</v>
      </c>
      <c r="O73" s="4">
        <v>7.1967886999999994E-2</v>
      </c>
      <c r="P73">
        <v>0.22625000000000001</v>
      </c>
      <c r="Q73">
        <f t="shared" si="3"/>
        <v>13.074950581276015</v>
      </c>
      <c r="R73">
        <v>0.32812499999999994</v>
      </c>
      <c r="S73">
        <f t="shared" si="4"/>
        <v>0.55437499999999995</v>
      </c>
      <c r="T73">
        <v>0.44562500000000005</v>
      </c>
      <c r="U73">
        <v>5980797852.5800858</v>
      </c>
      <c r="V73">
        <v>89697372.537643299</v>
      </c>
      <c r="W73">
        <f t="shared" si="5"/>
        <v>1.4997559648157697E-2</v>
      </c>
      <c r="X73">
        <v>0.84940993128144537</v>
      </c>
      <c r="Y73">
        <v>0.61241028361890704</v>
      </c>
      <c r="Z73">
        <v>0.64829080678959772</v>
      </c>
      <c r="AA73">
        <v>0.73396339190099114</v>
      </c>
      <c r="AB73">
        <v>0.80703213928862538</v>
      </c>
      <c r="AC73" t="s">
        <v>217</v>
      </c>
      <c r="AK73" s="3"/>
      <c r="AL73" s="3"/>
      <c r="AM73" s="3"/>
    </row>
    <row r="74" spans="1:39" x14ac:dyDescent="0.35">
      <c r="A74" t="s">
        <v>118</v>
      </c>
      <c r="B74" t="s">
        <v>71</v>
      </c>
      <c r="C74" s="5" t="s">
        <v>252</v>
      </c>
      <c r="D74">
        <v>345670</v>
      </c>
      <c r="E74">
        <v>6227606</v>
      </c>
      <c r="F74">
        <v>4</v>
      </c>
      <c r="G74" t="s">
        <v>225</v>
      </c>
      <c r="H74" t="s">
        <v>95</v>
      </c>
      <c r="I74" t="s">
        <v>103</v>
      </c>
      <c r="J74" s="3">
        <v>6.32</v>
      </c>
      <c r="K74" s="4">
        <v>1.3912675198555331</v>
      </c>
      <c r="L74">
        <v>0.20526218026698081</v>
      </c>
      <c r="M74">
        <v>2.3260448568509955</v>
      </c>
      <c r="N74">
        <v>11.331741587782304</v>
      </c>
      <c r="O74" s="4">
        <v>0.12916739766666666</v>
      </c>
      <c r="P74">
        <v>0.166875</v>
      </c>
      <c r="Q74">
        <f t="shared" si="3"/>
        <v>6.3509757183644915</v>
      </c>
      <c r="R74">
        <v>0.19937500000000008</v>
      </c>
      <c r="S74">
        <f t="shared" si="4"/>
        <v>0.36625000000000008</v>
      </c>
      <c r="T74">
        <v>0.63374999999999992</v>
      </c>
      <c r="U74">
        <v>4584945207.5741558</v>
      </c>
      <c r="V74">
        <v>197733308.18020597</v>
      </c>
      <c r="W74">
        <f t="shared" si="5"/>
        <v>4.3126645843784138E-2</v>
      </c>
      <c r="X74">
        <v>0.9071513446351851</v>
      </c>
      <c r="Y74">
        <v>0.41474836481780647</v>
      </c>
      <c r="Z74">
        <v>0.27627053654083572</v>
      </c>
      <c r="AA74">
        <v>0.22014152573527873</v>
      </c>
      <c r="AB74">
        <v>0.28277351584232335</v>
      </c>
      <c r="AC74" t="s">
        <v>240</v>
      </c>
      <c r="AD74">
        <v>17.293783732954367</v>
      </c>
      <c r="AE74">
        <v>14.35996255999539</v>
      </c>
      <c r="AF74">
        <v>0.73083333333333422</v>
      </c>
      <c r="AG74">
        <v>1.7600000000000016</v>
      </c>
      <c r="AH74">
        <v>1.4875000000000007</v>
      </c>
      <c r="AI74">
        <v>24.274015371812336</v>
      </c>
      <c r="AJ74">
        <v>58.456921853212805</v>
      </c>
      <c r="AK74" s="3">
        <v>49.406063214007965</v>
      </c>
      <c r="AL74" s="3"/>
      <c r="AM74" s="3"/>
    </row>
    <row r="75" spans="1:39" x14ac:dyDescent="0.35">
      <c r="A75" t="s">
        <v>163</v>
      </c>
      <c r="B75" t="s">
        <v>70</v>
      </c>
      <c r="C75" s="5" t="s">
        <v>252</v>
      </c>
      <c r="D75">
        <v>345670</v>
      </c>
      <c r="E75">
        <v>6227606</v>
      </c>
      <c r="F75">
        <v>4</v>
      </c>
      <c r="G75" t="s">
        <v>225</v>
      </c>
      <c r="H75" t="s">
        <v>95</v>
      </c>
      <c r="I75" t="s">
        <v>104</v>
      </c>
      <c r="J75" s="3">
        <v>5.64</v>
      </c>
      <c r="K75" s="4">
        <v>1.6186993547354158</v>
      </c>
      <c r="L75">
        <v>0.28182479445482472</v>
      </c>
      <c r="M75">
        <v>2.9627709774356625</v>
      </c>
      <c r="N75">
        <v>10.517495491556646</v>
      </c>
      <c r="O75" s="4">
        <v>0.17187163333333333</v>
      </c>
      <c r="P75">
        <v>0.20437500000000003</v>
      </c>
      <c r="Q75">
        <f t="shared" si="3"/>
        <v>6.031085959156564</v>
      </c>
      <c r="R75">
        <v>0.28687500000000005</v>
      </c>
      <c r="S75">
        <f t="shared" si="4"/>
        <v>0.49125000000000008</v>
      </c>
      <c r="T75">
        <v>0.50874999999999992</v>
      </c>
      <c r="U75">
        <v>6519807370.8911896</v>
      </c>
      <c r="V75">
        <v>322159992.02225405</v>
      </c>
      <c r="W75">
        <f t="shared" si="5"/>
        <v>4.9412501581042594E-2</v>
      </c>
      <c r="X75">
        <v>0.9071513446351851</v>
      </c>
      <c r="Y75">
        <v>0.41474836481780647</v>
      </c>
      <c r="Z75">
        <v>0.27627053654083572</v>
      </c>
      <c r="AA75">
        <v>0.22014152573527873</v>
      </c>
      <c r="AB75">
        <v>0.28277351584232335</v>
      </c>
      <c r="AC75" t="s">
        <v>240</v>
      </c>
      <c r="AD75">
        <v>17.404350840383106</v>
      </c>
      <c r="AE75">
        <v>13.307070052945045</v>
      </c>
      <c r="AF75">
        <v>0.80583333333333329</v>
      </c>
      <c r="AG75">
        <v>2.27</v>
      </c>
      <c r="AH75">
        <v>1.6058333333333341</v>
      </c>
      <c r="AI75">
        <v>24.64505735608083</v>
      </c>
      <c r="AJ75">
        <v>69.424132614233898</v>
      </c>
      <c r="AK75" s="3">
        <v>49.111712021890163</v>
      </c>
      <c r="AL75" s="3"/>
      <c r="AM75" s="3"/>
    </row>
    <row r="76" spans="1:39" x14ac:dyDescent="0.35">
      <c r="A76" t="s">
        <v>164</v>
      </c>
      <c r="B76" t="s">
        <v>73</v>
      </c>
      <c r="C76" s="5" t="s">
        <v>253</v>
      </c>
      <c r="D76">
        <v>347526</v>
      </c>
      <c r="E76">
        <v>6228850</v>
      </c>
      <c r="F76">
        <v>4</v>
      </c>
      <c r="G76" t="s">
        <v>225</v>
      </c>
      <c r="H76" t="s">
        <v>95</v>
      </c>
      <c r="I76" t="s">
        <v>105</v>
      </c>
      <c r="J76" s="3">
        <v>6.46</v>
      </c>
      <c r="K76" s="4">
        <v>1.9417509900957615</v>
      </c>
      <c r="L76">
        <v>0.35077608776786984</v>
      </c>
      <c r="M76">
        <v>3.3257616344683072</v>
      </c>
      <c r="N76">
        <v>9.492275450721058</v>
      </c>
      <c r="O76" s="4">
        <v>0.45284529233333332</v>
      </c>
      <c r="P76">
        <v>0.25437500000000002</v>
      </c>
      <c r="Q76">
        <f t="shared" si="3"/>
        <v>5.7464563878502055</v>
      </c>
      <c r="R76">
        <v>0.32437500000000008</v>
      </c>
      <c r="S76">
        <f t="shared" si="4"/>
        <v>0.5787500000000001</v>
      </c>
      <c r="T76">
        <v>0.4212499999999999</v>
      </c>
      <c r="U76">
        <v>21897410598.203541</v>
      </c>
      <c r="V76">
        <v>171546054.60400674</v>
      </c>
      <c r="W76">
        <f t="shared" si="5"/>
        <v>7.8340794604308296E-3</v>
      </c>
      <c r="X76">
        <v>0.30971551925682833</v>
      </c>
      <c r="Y76">
        <v>0.36179217273800313</v>
      </c>
      <c r="Z76">
        <v>0.30406729112651232</v>
      </c>
      <c r="AA76">
        <v>0.37072247373292749</v>
      </c>
      <c r="AB76">
        <v>0.403505603615255</v>
      </c>
      <c r="AC76" t="s">
        <v>240</v>
      </c>
      <c r="AD76">
        <v>11.772120205524526</v>
      </c>
      <c r="AE76">
        <v>5.7426254749127352</v>
      </c>
      <c r="AF76">
        <v>1.1033333333333319</v>
      </c>
      <c r="AG76">
        <v>2.0316666666666667</v>
      </c>
      <c r="AH76">
        <v>2.3916666666666622</v>
      </c>
      <c r="AI76">
        <v>21.528934454294642</v>
      </c>
      <c r="AJ76">
        <v>39.643158761004834</v>
      </c>
      <c r="AK76" s="3">
        <v>46.667705350321434</v>
      </c>
      <c r="AL76" s="3"/>
      <c r="AM76" s="3"/>
    </row>
    <row r="77" spans="1:39" x14ac:dyDescent="0.35">
      <c r="A77" t="s">
        <v>165</v>
      </c>
      <c r="B77" t="s">
        <v>72</v>
      </c>
      <c r="C77" s="5" t="s">
        <v>253</v>
      </c>
      <c r="D77">
        <v>347526</v>
      </c>
      <c r="E77">
        <v>6228850</v>
      </c>
      <c r="F77">
        <v>4</v>
      </c>
      <c r="G77" t="s">
        <v>225</v>
      </c>
      <c r="H77" t="s">
        <v>95</v>
      </c>
      <c r="I77" t="s">
        <v>106</v>
      </c>
      <c r="J77" s="3">
        <v>5.91</v>
      </c>
      <c r="K77" s="4">
        <v>1.9298172636758757</v>
      </c>
      <c r="L77">
        <v>0.32284691695868467</v>
      </c>
      <c r="M77">
        <v>3.4274202012308783</v>
      </c>
      <c r="N77">
        <v>10.630287233403783</v>
      </c>
      <c r="O77" s="4">
        <v>0.424727362</v>
      </c>
      <c r="P77">
        <v>0.20875000000000005</v>
      </c>
      <c r="Q77">
        <f t="shared" si="3"/>
        <v>6.4213961615566797</v>
      </c>
      <c r="R77">
        <v>0.32500000000000001</v>
      </c>
      <c r="S77">
        <f t="shared" si="4"/>
        <v>0.53375000000000006</v>
      </c>
      <c r="T77">
        <v>0.46624999999999994</v>
      </c>
      <c r="U77">
        <v>7589128256.257597</v>
      </c>
      <c r="V77">
        <v>657883698.41664803</v>
      </c>
      <c r="W77">
        <f t="shared" si="5"/>
        <v>8.6687650570958744E-2</v>
      </c>
      <c r="X77">
        <v>0.30971551925682833</v>
      </c>
      <c r="Y77">
        <v>0.36179217273800313</v>
      </c>
      <c r="Z77">
        <v>0.30406729112651232</v>
      </c>
      <c r="AA77">
        <v>0.37072247373292749</v>
      </c>
      <c r="AB77">
        <v>0.403505603615255</v>
      </c>
      <c r="AC77" t="s">
        <v>240</v>
      </c>
      <c r="AD77">
        <v>14.301046193565851</v>
      </c>
      <c r="AE77">
        <v>6.1736192909850454</v>
      </c>
      <c r="AF77">
        <v>0.5850000000000003</v>
      </c>
      <c r="AG77">
        <v>1.1391666666666651</v>
      </c>
      <c r="AH77">
        <v>2.3733333333333331</v>
      </c>
      <c r="AI77">
        <v>10.101547079404936</v>
      </c>
      <c r="AJ77">
        <v>19.670676435251451</v>
      </c>
      <c r="AK77" s="3">
        <v>40.981775045790933</v>
      </c>
      <c r="AL77" s="3"/>
      <c r="AM77" s="3"/>
    </row>
    <row r="78" spans="1:39" x14ac:dyDescent="0.35">
      <c r="A78" t="s">
        <v>166</v>
      </c>
      <c r="B78" t="s">
        <v>75</v>
      </c>
      <c r="C78" s="5" t="s">
        <v>254</v>
      </c>
      <c r="D78">
        <v>347526</v>
      </c>
      <c r="E78">
        <v>6228850</v>
      </c>
      <c r="F78">
        <v>4</v>
      </c>
      <c r="G78" t="s">
        <v>225</v>
      </c>
      <c r="H78" t="s">
        <v>95</v>
      </c>
      <c r="I78" t="s">
        <v>107</v>
      </c>
      <c r="J78" s="3">
        <v>6.23</v>
      </c>
      <c r="K78" s="4">
        <v>2.3988206057820149</v>
      </c>
      <c r="L78">
        <v>0.3988885802455458</v>
      </c>
      <c r="M78">
        <v>4.5452965008664696</v>
      </c>
      <c r="N78">
        <v>11.398410753214682</v>
      </c>
      <c r="O78" s="4">
        <v>0.11880351299999999</v>
      </c>
      <c r="P78">
        <v>0.15875</v>
      </c>
      <c r="Q78">
        <f t="shared" si="3"/>
        <v>11.72979742159089</v>
      </c>
      <c r="R78">
        <v>0.22875000000000001</v>
      </c>
      <c r="S78">
        <f t="shared" si="4"/>
        <v>0.38750000000000001</v>
      </c>
      <c r="T78">
        <v>0.61250000000000004</v>
      </c>
      <c r="U78">
        <v>12432330819.893133</v>
      </c>
      <c r="V78">
        <v>278477735.95312238</v>
      </c>
      <c r="W78">
        <f t="shared" si="5"/>
        <v>2.239947922778298E-2</v>
      </c>
      <c r="X78">
        <v>0.30971551925682833</v>
      </c>
      <c r="Y78">
        <v>0.36179217273800313</v>
      </c>
      <c r="Z78">
        <v>0.30406729112651232</v>
      </c>
      <c r="AA78">
        <v>0.37072247373292749</v>
      </c>
      <c r="AB78">
        <v>0.403505603615255</v>
      </c>
      <c r="AC78" t="s">
        <v>240</v>
      </c>
      <c r="AD78">
        <v>15.047062465438136</v>
      </c>
      <c r="AE78">
        <v>8.6569830446213256</v>
      </c>
      <c r="AF78">
        <v>0.61500000000000443</v>
      </c>
      <c r="AG78">
        <v>1.9616666666666651</v>
      </c>
      <c r="AH78">
        <v>2.736666666666665</v>
      </c>
      <c r="AI78">
        <v>14.153047040699263</v>
      </c>
      <c r="AJ78">
        <v>45.144000994316798</v>
      </c>
      <c r="AK78" s="3">
        <v>62.979141574059632</v>
      </c>
      <c r="AL78" s="3"/>
      <c r="AM78" s="3"/>
    </row>
    <row r="79" spans="1:39" x14ac:dyDescent="0.35">
      <c r="A79" t="s">
        <v>117</v>
      </c>
      <c r="B79" t="s">
        <v>74</v>
      </c>
      <c r="C79" s="5" t="s">
        <v>254</v>
      </c>
      <c r="D79">
        <v>347526</v>
      </c>
      <c r="E79">
        <v>6228850</v>
      </c>
      <c r="F79">
        <v>4</v>
      </c>
      <c r="G79" t="s">
        <v>225</v>
      </c>
      <c r="H79" t="s">
        <v>95</v>
      </c>
      <c r="I79" t="s">
        <v>108</v>
      </c>
      <c r="J79" s="3">
        <v>5.92</v>
      </c>
      <c r="K79" s="4">
        <v>1.5696783043190947</v>
      </c>
      <c r="L79">
        <v>0.23387715462708616</v>
      </c>
      <c r="M79">
        <v>2.7305441452320736</v>
      </c>
      <c r="N79">
        <v>11.68086538008184</v>
      </c>
      <c r="O79" s="4">
        <v>0.10822280466666667</v>
      </c>
      <c r="P79">
        <v>0.19187499999999999</v>
      </c>
      <c r="Q79">
        <f t="shared" si="3"/>
        <v>5.8563949495594061</v>
      </c>
      <c r="R79">
        <v>0.27437500000000009</v>
      </c>
      <c r="S79">
        <f t="shared" si="4"/>
        <v>0.46625000000000005</v>
      </c>
      <c r="T79">
        <v>0.53374999999999995</v>
      </c>
      <c r="U79">
        <v>8446206342.0934734</v>
      </c>
      <c r="V79">
        <v>1690030018.5860081</v>
      </c>
      <c r="W79">
        <f t="shared" si="5"/>
        <v>0.20009338514066161</v>
      </c>
      <c r="X79">
        <v>0.30971551925682833</v>
      </c>
      <c r="Y79">
        <v>0.36179217273800313</v>
      </c>
      <c r="Z79">
        <v>0.30406729112651232</v>
      </c>
      <c r="AA79">
        <v>0.37072247373292749</v>
      </c>
      <c r="AB79">
        <v>0.403505603615255</v>
      </c>
      <c r="AC79" t="s">
        <v>240</v>
      </c>
      <c r="AD79">
        <v>21.369891547678428</v>
      </c>
      <c r="AE79">
        <v>16.932817389459306</v>
      </c>
      <c r="AF79">
        <v>0.34416666666666673</v>
      </c>
      <c r="AG79">
        <v>1.1766666666666659</v>
      </c>
      <c r="AH79">
        <v>2.0433333333333334</v>
      </c>
      <c r="AI79">
        <v>10.908265594522751</v>
      </c>
      <c r="AJ79">
        <v>37.294118691201241</v>
      </c>
      <c r="AK79" s="3">
        <v>64.762874667723437</v>
      </c>
      <c r="AL79" s="3"/>
      <c r="AM79" s="3"/>
    </row>
    <row r="80" spans="1:39" x14ac:dyDescent="0.35">
      <c r="A80" t="s">
        <v>167</v>
      </c>
      <c r="B80" t="s">
        <v>76</v>
      </c>
      <c r="C80" s="5" t="s">
        <v>264</v>
      </c>
      <c r="D80">
        <v>353716</v>
      </c>
      <c r="E80">
        <v>6232513</v>
      </c>
      <c r="F80">
        <v>4</v>
      </c>
      <c r="G80" t="s">
        <v>43</v>
      </c>
      <c r="H80" t="s">
        <v>95</v>
      </c>
      <c r="I80" t="s">
        <v>43</v>
      </c>
      <c r="J80" s="3">
        <v>4.79</v>
      </c>
      <c r="K80" s="4">
        <v>2.6914505788652718</v>
      </c>
      <c r="L80">
        <v>0.22210862843042523</v>
      </c>
      <c r="M80">
        <v>3.7074145174502111</v>
      </c>
      <c r="N80">
        <v>16.660499574439569</v>
      </c>
      <c r="O80" s="4">
        <v>4.3594511999999995E-2</v>
      </c>
      <c r="P80">
        <v>0.11687500000000001</v>
      </c>
      <c r="Q80">
        <f t="shared" si="3"/>
        <v>10.864218366154462</v>
      </c>
      <c r="R80">
        <v>0.22437500000000007</v>
      </c>
      <c r="S80">
        <f t="shared" si="4"/>
        <v>0.34125000000000005</v>
      </c>
      <c r="T80">
        <v>0.65874999999999995</v>
      </c>
      <c r="U80">
        <v>8504714485.7142048</v>
      </c>
      <c r="V80">
        <v>507954866.95161647</v>
      </c>
      <c r="W80">
        <f t="shared" si="5"/>
        <v>5.972626921278236E-2</v>
      </c>
      <c r="X80">
        <v>0.76693583977122526</v>
      </c>
      <c r="Y80">
        <v>0.77889305133303488</v>
      </c>
      <c r="Z80">
        <v>0.80000487304684398</v>
      </c>
      <c r="AA80">
        <v>0.81765088069734393</v>
      </c>
      <c r="AB80">
        <v>0.84521562557317897</v>
      </c>
      <c r="AC80" t="s">
        <v>217</v>
      </c>
      <c r="AD80">
        <v>13.158571435713474</v>
      </c>
      <c r="AE80">
        <v>10.842214925411412</v>
      </c>
      <c r="AF80">
        <v>0.9125000000000002</v>
      </c>
      <c r="AG80">
        <v>1.701666666666668</v>
      </c>
      <c r="AH80">
        <v>1.9150000000000009</v>
      </c>
      <c r="AI80">
        <v>30.074757484953313</v>
      </c>
      <c r="AJ80">
        <v>56.084616241346758</v>
      </c>
      <c r="AK80" s="3">
        <v>63.115792420477362</v>
      </c>
      <c r="AL80" s="3"/>
      <c r="AM80" s="3"/>
    </row>
    <row r="81" spans="1:39" x14ac:dyDescent="0.35">
      <c r="A81" t="s">
        <v>168</v>
      </c>
      <c r="B81" t="s">
        <v>77</v>
      </c>
      <c r="C81" s="5" t="s">
        <v>264</v>
      </c>
      <c r="D81">
        <v>353716</v>
      </c>
      <c r="E81">
        <v>6232513</v>
      </c>
      <c r="F81">
        <v>4</v>
      </c>
      <c r="G81" t="s">
        <v>43</v>
      </c>
      <c r="H81" t="s">
        <v>95</v>
      </c>
      <c r="I81" t="s">
        <v>43</v>
      </c>
      <c r="J81" s="3">
        <v>4.78</v>
      </c>
      <c r="K81" s="4">
        <v>2.8190700078228255</v>
      </c>
      <c r="L81">
        <v>0.25535987740878602</v>
      </c>
      <c r="M81">
        <v>4.0676268101068045</v>
      </c>
      <c r="N81">
        <v>15.926960663584966</v>
      </c>
      <c r="O81" s="4">
        <v>3.9740406999999998E-2</v>
      </c>
      <c r="P81">
        <v>0.10875000000000001</v>
      </c>
      <c r="Q81">
        <f t="shared" si="3"/>
        <v>10.16906702526701</v>
      </c>
      <c r="R81">
        <v>0.29125000000000001</v>
      </c>
      <c r="S81">
        <f t="shared" si="4"/>
        <v>0.4</v>
      </c>
      <c r="T81">
        <v>0.6</v>
      </c>
      <c r="U81">
        <v>4264367371.294992</v>
      </c>
      <c r="V81">
        <v>423373545.7106024</v>
      </c>
      <c r="W81">
        <f t="shared" si="5"/>
        <v>9.9281677409053387E-2</v>
      </c>
      <c r="X81">
        <v>0.76693583977122526</v>
      </c>
      <c r="Y81">
        <v>0.77889305133303488</v>
      </c>
      <c r="Z81">
        <v>0.80000487304684398</v>
      </c>
      <c r="AA81">
        <v>0.81765088069734393</v>
      </c>
      <c r="AB81">
        <v>0.84521562557317897</v>
      </c>
      <c r="AC81" t="s">
        <v>217</v>
      </c>
      <c r="AK81" s="3"/>
      <c r="AL81" s="3"/>
      <c r="AM81" s="3"/>
    </row>
    <row r="82" spans="1:39" x14ac:dyDescent="0.35">
      <c r="A82" t="s">
        <v>169</v>
      </c>
      <c r="B82" t="s">
        <v>79</v>
      </c>
      <c r="C82" s="5" t="s">
        <v>255</v>
      </c>
      <c r="D82">
        <v>322204</v>
      </c>
      <c r="E82">
        <v>6169551.9000000004</v>
      </c>
      <c r="F82">
        <v>5</v>
      </c>
      <c r="G82" t="s">
        <v>225</v>
      </c>
      <c r="H82" t="s">
        <v>95</v>
      </c>
      <c r="I82" t="s">
        <v>103</v>
      </c>
      <c r="J82" s="3">
        <v>5.77</v>
      </c>
      <c r="K82" s="4">
        <v>5.0668310546955668</v>
      </c>
      <c r="L82">
        <v>0.94081330994449752</v>
      </c>
      <c r="M82">
        <v>10.682963923576414</v>
      </c>
      <c r="N82">
        <v>11.333909296935881</v>
      </c>
      <c r="O82" s="4">
        <v>9.4888944666666655E-2</v>
      </c>
      <c r="P82">
        <v>0.17937500000000001</v>
      </c>
      <c r="Q82">
        <f t="shared" si="3"/>
        <v>24.21068311292105</v>
      </c>
      <c r="R82">
        <v>0.26187500000000002</v>
      </c>
      <c r="S82">
        <f t="shared" si="4"/>
        <v>0.44125000000000003</v>
      </c>
      <c r="T82">
        <v>0.55874999999999997</v>
      </c>
      <c r="U82">
        <v>8131532556.344614</v>
      </c>
      <c r="V82">
        <v>43764318.913866714</v>
      </c>
      <c r="W82">
        <f t="shared" si="5"/>
        <v>5.3820505065456182E-3</v>
      </c>
      <c r="X82">
        <v>0</v>
      </c>
      <c r="Y82">
        <v>0.22319526600585063</v>
      </c>
      <c r="Z82">
        <v>0.16963024897294132</v>
      </c>
      <c r="AA82">
        <v>0.17474353314797414</v>
      </c>
      <c r="AB82">
        <v>0.24237454182034887</v>
      </c>
      <c r="AC82" t="s">
        <v>240</v>
      </c>
      <c r="AD82">
        <v>11.652548478709328</v>
      </c>
      <c r="AE82">
        <v>2.4780565937242272</v>
      </c>
      <c r="AF82">
        <v>1.0600000000000007</v>
      </c>
      <c r="AG82">
        <v>1.7274999999999989</v>
      </c>
      <c r="AH82">
        <v>2.7375000000000003</v>
      </c>
      <c r="AI82">
        <v>9.0168772750340995</v>
      </c>
      <c r="AJ82">
        <v>14.694958011906968</v>
      </c>
      <c r="AK82" s="3">
        <v>23.286510887175314</v>
      </c>
      <c r="AL82" s="3"/>
      <c r="AM82" s="3"/>
    </row>
    <row r="83" spans="1:39" x14ac:dyDescent="0.35">
      <c r="A83" t="s">
        <v>170</v>
      </c>
      <c r="B83" t="s">
        <v>78</v>
      </c>
      <c r="C83" s="5" t="s">
        <v>255</v>
      </c>
      <c r="D83">
        <v>322204</v>
      </c>
      <c r="E83">
        <v>6169551.9000000004</v>
      </c>
      <c r="F83">
        <v>5</v>
      </c>
      <c r="G83" t="s">
        <v>225</v>
      </c>
      <c r="H83" t="s">
        <v>95</v>
      </c>
      <c r="I83" t="s">
        <v>104</v>
      </c>
      <c r="J83" s="3">
        <v>5.82</v>
      </c>
      <c r="K83" s="4">
        <v>1.2470193324447034</v>
      </c>
      <c r="L83">
        <v>0.16415623906411739</v>
      </c>
      <c r="M83">
        <v>1.9107808456736148</v>
      </c>
      <c r="N83">
        <v>11.681234665771598</v>
      </c>
      <c r="O83" s="4">
        <v>4.8529178333333332E-2</v>
      </c>
      <c r="P83">
        <v>0.19187499999999999</v>
      </c>
      <c r="Q83">
        <f t="shared" si="3"/>
        <v>3.7012704032418684</v>
      </c>
      <c r="R83">
        <v>0.32437500000000008</v>
      </c>
      <c r="S83">
        <f t="shared" si="4"/>
        <v>0.5162500000000001</v>
      </c>
      <c r="T83">
        <v>0.4837499999999999</v>
      </c>
      <c r="U83">
        <v>7964861922.2191505</v>
      </c>
      <c r="V83">
        <v>125865973.89529435</v>
      </c>
      <c r="W83">
        <f t="shared" si="5"/>
        <v>1.5802656106840063E-2</v>
      </c>
      <c r="X83">
        <v>0</v>
      </c>
      <c r="Y83">
        <v>0.22319526600585063</v>
      </c>
      <c r="Z83">
        <v>0.16963024897294132</v>
      </c>
      <c r="AA83">
        <v>0.17474353314797414</v>
      </c>
      <c r="AB83">
        <v>0.24237454182034887</v>
      </c>
      <c r="AC83" t="s">
        <v>240</v>
      </c>
      <c r="AD83">
        <v>15.94815045411204</v>
      </c>
      <c r="AE83">
        <v>16.803885002705581</v>
      </c>
      <c r="AF83">
        <v>0.79250000000000054</v>
      </c>
      <c r="AG83">
        <v>1.8191666666666688</v>
      </c>
      <c r="AH83">
        <v>1.8116666666666668</v>
      </c>
      <c r="AI83">
        <v>33.400936122246158</v>
      </c>
      <c r="AJ83">
        <v>76.671128869467282</v>
      </c>
      <c r="AK83" s="3">
        <v>76.355031682190443</v>
      </c>
      <c r="AL83" s="3"/>
      <c r="AM83" s="3"/>
    </row>
    <row r="84" spans="1:39" x14ac:dyDescent="0.35">
      <c r="A84" t="s">
        <v>171</v>
      </c>
      <c r="B84" t="s">
        <v>81</v>
      </c>
      <c r="C84" s="5" t="s">
        <v>256</v>
      </c>
      <c r="D84">
        <v>329995.00000000012</v>
      </c>
      <c r="E84">
        <v>6161463</v>
      </c>
      <c r="F84">
        <v>5</v>
      </c>
      <c r="G84" t="s">
        <v>225</v>
      </c>
      <c r="H84" t="s">
        <v>95</v>
      </c>
      <c r="I84" t="s">
        <v>105</v>
      </c>
      <c r="J84" s="3">
        <v>6.05</v>
      </c>
      <c r="K84" s="4">
        <v>1.1414549034276333</v>
      </c>
      <c r="L84">
        <v>0.17333057352097084</v>
      </c>
      <c r="M84">
        <v>2.0960677983764162</v>
      </c>
      <c r="N84">
        <v>12.094392579853491</v>
      </c>
      <c r="O84" s="4">
        <v>6.9596922333333325E-2</v>
      </c>
      <c r="P84">
        <v>0.15875</v>
      </c>
      <c r="Q84">
        <f t="shared" si="3"/>
        <v>5.2401694959410401</v>
      </c>
      <c r="R84">
        <v>0.24124999999999999</v>
      </c>
      <c r="S84">
        <f t="shared" si="4"/>
        <v>0.4</v>
      </c>
      <c r="T84">
        <v>0.6</v>
      </c>
      <c r="U84">
        <v>9596782133.1732006</v>
      </c>
      <c r="V84">
        <v>76413568.671237081</v>
      </c>
      <c r="W84">
        <f t="shared" si="5"/>
        <v>7.9624156942250737E-3</v>
      </c>
      <c r="X84">
        <v>0</v>
      </c>
      <c r="Y84">
        <v>1.8336243540096352E-2</v>
      </c>
      <c r="Z84">
        <v>4.0715233992491273E-2</v>
      </c>
      <c r="AA84">
        <v>0.23977742599418442</v>
      </c>
      <c r="AB84">
        <v>0.44971202691909373</v>
      </c>
      <c r="AC84" t="s">
        <v>240</v>
      </c>
      <c r="AD84">
        <v>10.991777833045266</v>
      </c>
      <c r="AE84">
        <v>5.4564733838082322</v>
      </c>
      <c r="AF84">
        <v>0.25833333333333358</v>
      </c>
      <c r="AG84">
        <v>1.5225000000000009</v>
      </c>
      <c r="AH84">
        <v>2.2975000000000008</v>
      </c>
      <c r="AI84">
        <v>5.1296122570674942</v>
      </c>
      <c r="AJ84">
        <v>30.231618044071954</v>
      </c>
      <c r="AK84" s="3">
        <v>45.620454815274421</v>
      </c>
      <c r="AL84" s="3"/>
      <c r="AM84" s="3"/>
    </row>
    <row r="85" spans="1:39" x14ac:dyDescent="0.35">
      <c r="A85" t="s">
        <v>172</v>
      </c>
      <c r="B85" t="s">
        <v>80</v>
      </c>
      <c r="C85" s="5" t="s">
        <v>256</v>
      </c>
      <c r="D85">
        <v>329995.00000000012</v>
      </c>
      <c r="E85">
        <v>6161463</v>
      </c>
      <c r="F85">
        <v>5</v>
      </c>
      <c r="G85" t="s">
        <v>225</v>
      </c>
      <c r="H85" t="s">
        <v>95</v>
      </c>
      <c r="I85" t="s">
        <v>106</v>
      </c>
      <c r="J85" s="3">
        <v>5.41</v>
      </c>
      <c r="K85" s="4">
        <v>1.2157551697455722</v>
      </c>
      <c r="L85">
        <v>0.18025933896877322</v>
      </c>
      <c r="M85">
        <v>1.9969199737646572</v>
      </c>
      <c r="N85">
        <v>11.078982256143371</v>
      </c>
      <c r="O85" s="4">
        <v>2.7488688333333334E-2</v>
      </c>
      <c r="P85">
        <v>0.18375000000000002</v>
      </c>
      <c r="Q85">
        <f t="shared" si="3"/>
        <v>3.8681258571712482</v>
      </c>
      <c r="R85">
        <v>0.33250000000000002</v>
      </c>
      <c r="S85">
        <f t="shared" si="4"/>
        <v>0.5162500000000001</v>
      </c>
      <c r="T85">
        <v>0.4837499999999999</v>
      </c>
      <c r="U85">
        <v>9400078528.7029819</v>
      </c>
      <c r="V85">
        <v>6559692.8225044049</v>
      </c>
      <c r="W85">
        <f t="shared" si="5"/>
        <v>6.9783383218283688E-4</v>
      </c>
      <c r="X85">
        <v>0</v>
      </c>
      <c r="Y85">
        <v>1.8336243540096352E-2</v>
      </c>
      <c r="Z85">
        <v>4.0715233992491273E-2</v>
      </c>
      <c r="AA85">
        <v>0.23977742599418442</v>
      </c>
      <c r="AB85">
        <v>0.44971202691909373</v>
      </c>
      <c r="AC85" t="s">
        <v>240</v>
      </c>
      <c r="AD85">
        <v>1.8027135162257855</v>
      </c>
      <c r="AE85">
        <v>1.3464513137322729</v>
      </c>
      <c r="AF85">
        <v>0.50500000000000089</v>
      </c>
      <c r="AG85">
        <v>0.96500000000000019</v>
      </c>
      <c r="AH85">
        <v>1.8525000000000016</v>
      </c>
      <c r="AI85">
        <v>15.087431415245144</v>
      </c>
      <c r="AJ85">
        <v>28.830438248933749</v>
      </c>
      <c r="AK85" s="3">
        <v>55.34547860740912</v>
      </c>
      <c r="AL85" s="3"/>
      <c r="AM85" s="3"/>
    </row>
    <row r="86" spans="1:39" x14ac:dyDescent="0.35">
      <c r="A86" t="s">
        <v>173</v>
      </c>
      <c r="B86" t="s">
        <v>83</v>
      </c>
      <c r="C86" s="5" t="s">
        <v>257</v>
      </c>
      <c r="D86">
        <v>334921.90000000002</v>
      </c>
      <c r="E86">
        <v>6165503.5</v>
      </c>
      <c r="F86">
        <v>5</v>
      </c>
      <c r="G86" t="s">
        <v>225</v>
      </c>
      <c r="H86" t="s">
        <v>95</v>
      </c>
      <c r="I86" t="s">
        <v>107</v>
      </c>
      <c r="J86" s="3">
        <v>5.61</v>
      </c>
      <c r="K86" s="4">
        <v>1.7150754408496933</v>
      </c>
      <c r="L86">
        <v>0.22623590105783373</v>
      </c>
      <c r="M86">
        <v>2.6674455927883223</v>
      </c>
      <c r="N86">
        <v>11.797430161237093</v>
      </c>
      <c r="O86" s="4">
        <v>2.9488596000000002E-2</v>
      </c>
      <c r="P86">
        <v>0.15875</v>
      </c>
      <c r="Q86">
        <f t="shared" si="3"/>
        <v>5.9858526626385915</v>
      </c>
      <c r="R86">
        <v>0.28687499999999999</v>
      </c>
      <c r="S86">
        <f t="shared" si="4"/>
        <v>0.44562499999999999</v>
      </c>
      <c r="T86">
        <v>0.55437499999999995</v>
      </c>
      <c r="U86">
        <v>13274985184.636732</v>
      </c>
      <c r="V86">
        <v>73680099.046892375</v>
      </c>
      <c r="W86">
        <f t="shared" si="5"/>
        <v>5.5502961413593935E-3</v>
      </c>
      <c r="X86">
        <v>5.570423008216337E-3</v>
      </c>
      <c r="Y86">
        <v>0.38055022016743756</v>
      </c>
      <c r="Z86">
        <v>0.63505028690473309</v>
      </c>
      <c r="AA86">
        <v>0.80700882627256121</v>
      </c>
      <c r="AB86">
        <v>0.88679127665281587</v>
      </c>
      <c r="AC86" t="s">
        <v>241</v>
      </c>
      <c r="AD86">
        <v>8.2326934125136439</v>
      </c>
      <c r="AE86">
        <v>4.5113101022237174</v>
      </c>
      <c r="AF86">
        <v>0.61250000000000104</v>
      </c>
      <c r="AG86">
        <v>1.644166666666667</v>
      </c>
      <c r="AH86">
        <v>2.4925000000000002</v>
      </c>
      <c r="AI86">
        <v>13.425387290200888</v>
      </c>
      <c r="AJ86">
        <v>36.038488603491587</v>
      </c>
      <c r="AK86" s="3">
        <v>54.633106646245984</v>
      </c>
      <c r="AL86" s="3"/>
      <c r="AM86" s="3"/>
    </row>
    <row r="87" spans="1:39" x14ac:dyDescent="0.35">
      <c r="A87" t="s">
        <v>174</v>
      </c>
      <c r="B87" t="s">
        <v>82</v>
      </c>
      <c r="C87" s="5" t="s">
        <v>257</v>
      </c>
      <c r="D87">
        <v>334921.90000000002</v>
      </c>
      <c r="E87">
        <v>6165503.5</v>
      </c>
      <c r="F87">
        <v>5</v>
      </c>
      <c r="G87" t="s">
        <v>225</v>
      </c>
      <c r="H87" t="s">
        <v>95</v>
      </c>
      <c r="I87" t="s">
        <v>108</v>
      </c>
      <c r="J87" s="3">
        <v>5.32</v>
      </c>
      <c r="K87" s="4">
        <v>1.3652213922512539</v>
      </c>
      <c r="L87">
        <v>0.18117685012590776</v>
      </c>
      <c r="M87">
        <v>1.9473724444384735</v>
      </c>
      <c r="N87">
        <v>10.74726672510751</v>
      </c>
      <c r="O87" s="4">
        <v>3.3803866333333328E-2</v>
      </c>
      <c r="P87">
        <v>0.15437499999999998</v>
      </c>
      <c r="Q87">
        <f t="shared" si="3"/>
        <v>4.6783722388912272</v>
      </c>
      <c r="R87">
        <v>0.26187500000000008</v>
      </c>
      <c r="S87">
        <f t="shared" si="4"/>
        <v>0.41625000000000006</v>
      </c>
      <c r="T87">
        <v>0.58374999999999988</v>
      </c>
      <c r="U87">
        <v>5939652981.6601849</v>
      </c>
      <c r="V87">
        <v>19565545.045513283</v>
      </c>
      <c r="W87">
        <f t="shared" si="5"/>
        <v>3.2940552429452778E-3</v>
      </c>
      <c r="X87">
        <v>5.570423008216337E-3</v>
      </c>
      <c r="Y87">
        <v>0.38055022016743756</v>
      </c>
      <c r="Z87">
        <v>0.63505028690473309</v>
      </c>
      <c r="AA87">
        <v>0.80700882627256121</v>
      </c>
      <c r="AB87">
        <v>0.88679127665281587</v>
      </c>
      <c r="AC87" t="s">
        <v>241</v>
      </c>
      <c r="AD87">
        <v>11.874714746335407</v>
      </c>
      <c r="AE87">
        <v>12.022347265971661</v>
      </c>
      <c r="AF87">
        <v>0.38666666666666294</v>
      </c>
      <c r="AG87">
        <v>1.6933333333333358</v>
      </c>
      <c r="AH87">
        <v>1.8550000000000011</v>
      </c>
      <c r="AI87">
        <v>15.658956167437786</v>
      </c>
      <c r="AJ87">
        <v>68.575428733262768</v>
      </c>
      <c r="AK87" s="3">
        <v>75.122492303269112</v>
      </c>
      <c r="AL87" s="3"/>
      <c r="AM87" s="3"/>
    </row>
    <row r="88" spans="1:39" x14ac:dyDescent="0.35">
      <c r="A88" t="s">
        <v>131</v>
      </c>
      <c r="B88" t="s">
        <v>84</v>
      </c>
      <c r="C88" s="5" t="s">
        <v>265</v>
      </c>
      <c r="D88">
        <v>335139.00000000012</v>
      </c>
      <c r="E88">
        <v>6165524</v>
      </c>
      <c r="F88">
        <v>5</v>
      </c>
      <c r="G88" t="s">
        <v>43</v>
      </c>
      <c r="H88" t="s">
        <v>95</v>
      </c>
      <c r="I88" t="s">
        <v>43</v>
      </c>
      <c r="J88" s="3">
        <v>5.86</v>
      </c>
      <c r="K88" s="4">
        <v>4.0524447022670751</v>
      </c>
      <c r="L88">
        <v>0.59566066678401375</v>
      </c>
      <c r="M88">
        <v>9.0154958897496105</v>
      </c>
      <c r="N88">
        <v>15.134948415535293</v>
      </c>
      <c r="O88" s="4">
        <v>5.3730898333333332E-2</v>
      </c>
      <c r="P88">
        <v>0.12937499999999999</v>
      </c>
      <c r="Q88">
        <f t="shared" si="3"/>
        <v>24.615688436176406</v>
      </c>
      <c r="R88">
        <v>0.23687500000000006</v>
      </c>
      <c r="S88">
        <f t="shared" si="4"/>
        <v>0.36625000000000008</v>
      </c>
      <c r="T88">
        <v>0.63374999999999992</v>
      </c>
      <c r="U88">
        <v>22355630131.165894</v>
      </c>
      <c r="V88">
        <v>51185551.26769454</v>
      </c>
      <c r="W88">
        <f t="shared" si="5"/>
        <v>2.289604496378609E-3</v>
      </c>
      <c r="X88">
        <v>0.63646061742448945</v>
      </c>
      <c r="Y88">
        <v>0.50237125879339928</v>
      </c>
      <c r="Z88">
        <v>0.68772790308482512</v>
      </c>
      <c r="AA88">
        <v>0.82294883044298694</v>
      </c>
      <c r="AB88">
        <v>0.89209375913123812</v>
      </c>
      <c r="AC88" t="s">
        <v>217</v>
      </c>
      <c r="AD88">
        <v>13.147509547387376</v>
      </c>
      <c r="AE88">
        <v>1.883808451664682</v>
      </c>
      <c r="AF88">
        <v>0.26999999999999985</v>
      </c>
      <c r="AG88">
        <v>1.125</v>
      </c>
      <c r="AH88">
        <v>1.5433333333333337</v>
      </c>
      <c r="AI88">
        <v>1.5474513408527217</v>
      </c>
      <c r="AJ88">
        <v>6.4477139202196776</v>
      </c>
      <c r="AK88" s="3">
        <v>8.8453082816643303</v>
      </c>
      <c r="AL88" s="3"/>
      <c r="AM88" s="3"/>
    </row>
    <row r="89" spans="1:39" x14ac:dyDescent="0.35">
      <c r="A89" t="s">
        <v>129</v>
      </c>
      <c r="B89" t="s">
        <v>85</v>
      </c>
      <c r="C89" s="5" t="s">
        <v>265</v>
      </c>
      <c r="D89">
        <v>335139.00000000012</v>
      </c>
      <c r="E89">
        <v>6165524</v>
      </c>
      <c r="F89">
        <v>5</v>
      </c>
      <c r="G89" t="s">
        <v>43</v>
      </c>
      <c r="H89" t="s">
        <v>95</v>
      </c>
      <c r="I89" t="s">
        <v>43</v>
      </c>
      <c r="J89" s="3">
        <v>6.07</v>
      </c>
      <c r="K89" s="4">
        <v>7.5931641706466975</v>
      </c>
      <c r="L89">
        <v>1.1477709859409624</v>
      </c>
      <c r="M89">
        <v>18.144986192271165</v>
      </c>
      <c r="N89">
        <v>15.795182547285336</v>
      </c>
      <c r="O89" s="4">
        <v>5.5566646666666664E-2</v>
      </c>
      <c r="P89">
        <v>8.8750000000000023E-2</v>
      </c>
      <c r="Q89">
        <f t="shared" si="3"/>
        <v>51.202782905879836</v>
      </c>
      <c r="R89">
        <v>0.265625</v>
      </c>
      <c r="S89">
        <f t="shared" si="4"/>
        <v>0.354375</v>
      </c>
      <c r="T89">
        <v>0.645625</v>
      </c>
      <c r="U89">
        <v>16050200237.360786</v>
      </c>
      <c r="V89">
        <v>42662468.142902501</v>
      </c>
      <c r="W89">
        <f t="shared" si="5"/>
        <v>2.6580645419983684E-3</v>
      </c>
      <c r="X89">
        <v>0.63646061742448945</v>
      </c>
      <c r="Y89">
        <v>0.50237125879339928</v>
      </c>
      <c r="Z89">
        <v>0.68772790308482512</v>
      </c>
      <c r="AA89">
        <v>0.82294883044298694</v>
      </c>
      <c r="AB89">
        <v>0.89209375913123812</v>
      </c>
      <c r="AC89" t="s">
        <v>217</v>
      </c>
      <c r="AK89" s="3"/>
      <c r="AL89" s="3"/>
      <c r="AM89" s="3"/>
    </row>
    <row r="90" spans="1:39" x14ac:dyDescent="0.35">
      <c r="A90" t="s">
        <v>175</v>
      </c>
      <c r="B90" t="s">
        <v>87</v>
      </c>
      <c r="C90" s="5" t="s">
        <v>258</v>
      </c>
      <c r="D90">
        <v>302867.00000000012</v>
      </c>
      <c r="E90">
        <v>6109326</v>
      </c>
      <c r="F90">
        <v>6</v>
      </c>
      <c r="G90" t="s">
        <v>225</v>
      </c>
      <c r="H90" t="s">
        <v>95</v>
      </c>
      <c r="I90" t="s">
        <v>103</v>
      </c>
      <c r="J90" s="3">
        <v>5.53</v>
      </c>
      <c r="K90" s="4">
        <v>3.697846503705899</v>
      </c>
      <c r="L90">
        <v>0.44343863573685072</v>
      </c>
      <c r="M90">
        <v>5.1202118940181753</v>
      </c>
      <c r="N90">
        <v>11.552499865005828</v>
      </c>
      <c r="O90" s="4">
        <v>9.4064070300000011E-2</v>
      </c>
      <c r="P90">
        <v>8.3750000000000019E-2</v>
      </c>
      <c r="Q90">
        <f t="shared" si="3"/>
        <v>23.20775929300023</v>
      </c>
      <c r="R90">
        <v>0.13687499999999997</v>
      </c>
      <c r="S90">
        <f t="shared" si="4"/>
        <v>0.22062499999999999</v>
      </c>
      <c r="T90">
        <v>0.77937500000000004</v>
      </c>
      <c r="U90">
        <v>13366943006.679865</v>
      </c>
      <c r="V90">
        <v>45387938.289093688</v>
      </c>
      <c r="W90">
        <f t="shared" si="5"/>
        <v>3.3955361571012884E-3</v>
      </c>
      <c r="X90">
        <v>0.30064368750059028</v>
      </c>
      <c r="Y90">
        <v>0.23035613327306106</v>
      </c>
      <c r="Z90">
        <v>0.26570682709171972</v>
      </c>
      <c r="AA90">
        <v>0.28996821053775834</v>
      </c>
      <c r="AB90">
        <v>0.30734719184445736</v>
      </c>
      <c r="AC90" t="s">
        <v>240</v>
      </c>
      <c r="AD90">
        <v>14.818058141771658</v>
      </c>
      <c r="AE90">
        <v>7.7226412925950969</v>
      </c>
      <c r="AF90">
        <v>0.68000000000000094</v>
      </c>
      <c r="AG90">
        <v>1.5241666666666662</v>
      </c>
      <c r="AH90">
        <v>1.9891666666666659</v>
      </c>
      <c r="AI90">
        <v>14.175666011624415</v>
      </c>
      <c r="AJ90">
        <v>31.773643548113984</v>
      </c>
      <c r="AK90" s="3">
        <v>41.467297511945368</v>
      </c>
      <c r="AL90" s="3"/>
      <c r="AM90" s="3"/>
    </row>
    <row r="91" spans="1:39" x14ac:dyDescent="0.35">
      <c r="A91" t="s">
        <v>119</v>
      </c>
      <c r="B91" t="s">
        <v>86</v>
      </c>
      <c r="C91" s="5" t="s">
        <v>258</v>
      </c>
      <c r="D91">
        <v>302867.00000000012</v>
      </c>
      <c r="E91">
        <v>6109326</v>
      </c>
      <c r="F91">
        <v>6</v>
      </c>
      <c r="G91" t="s">
        <v>225</v>
      </c>
      <c r="H91" t="s">
        <v>95</v>
      </c>
      <c r="I91" t="s">
        <v>104</v>
      </c>
      <c r="J91" s="3">
        <v>6.04</v>
      </c>
      <c r="K91" s="4">
        <v>3.7176690150134135</v>
      </c>
      <c r="L91">
        <v>0.46984766891247437</v>
      </c>
      <c r="M91">
        <v>5.4293928441352692</v>
      </c>
      <c r="N91">
        <v>11.55796223045099</v>
      </c>
      <c r="O91" s="4">
        <v>8.2663616799999992E-2</v>
      </c>
      <c r="P91">
        <v>7.1250000000000008E-2</v>
      </c>
      <c r="Q91">
        <f t="shared" si="3"/>
        <v>27.146964220676345</v>
      </c>
      <c r="R91">
        <v>0.12875</v>
      </c>
      <c r="S91">
        <f t="shared" si="4"/>
        <v>0.2</v>
      </c>
      <c r="T91">
        <v>0.8</v>
      </c>
      <c r="U91">
        <v>23788627019.949493</v>
      </c>
      <c r="V91">
        <v>51185551.267694443</v>
      </c>
      <c r="W91">
        <f t="shared" si="5"/>
        <v>2.1516816092315661E-3</v>
      </c>
      <c r="X91">
        <v>0.30064368750059028</v>
      </c>
      <c r="Y91">
        <v>0.23035613327306106</v>
      </c>
      <c r="Z91">
        <v>0.26570682709171972</v>
      </c>
      <c r="AA91">
        <v>0.28996821053775834</v>
      </c>
      <c r="AB91">
        <v>0.30734719184445736</v>
      </c>
      <c r="AC91" t="s">
        <v>240</v>
      </c>
      <c r="AD91">
        <v>13.382397264610102</v>
      </c>
      <c r="AE91">
        <v>6.7214839432118101</v>
      </c>
      <c r="AF91">
        <v>0.71333333333333337</v>
      </c>
      <c r="AG91">
        <v>1.9349999999999978</v>
      </c>
      <c r="AH91">
        <v>2.4241666666666668</v>
      </c>
      <c r="AI91">
        <v>14.331239616798065</v>
      </c>
      <c r="AJ91">
        <v>25.916774447200208</v>
      </c>
      <c r="AK91" s="3">
        <v>48.702775753814926</v>
      </c>
      <c r="AL91" s="3"/>
      <c r="AM91" s="3"/>
    </row>
    <row r="92" spans="1:39" x14ac:dyDescent="0.35">
      <c r="A92" t="s">
        <v>176</v>
      </c>
      <c r="B92" t="s">
        <v>89</v>
      </c>
      <c r="C92" s="5" t="s">
        <v>259</v>
      </c>
      <c r="D92">
        <v>312468.99999999988</v>
      </c>
      <c r="E92">
        <v>6098487</v>
      </c>
      <c r="F92">
        <v>6</v>
      </c>
      <c r="G92" t="s">
        <v>225</v>
      </c>
      <c r="H92" t="s">
        <v>95</v>
      </c>
      <c r="I92" t="s">
        <v>105</v>
      </c>
      <c r="J92" s="3">
        <v>5.78</v>
      </c>
      <c r="K92" s="4">
        <v>3.668670335250416</v>
      </c>
      <c r="L92">
        <v>0.46228414929022693</v>
      </c>
      <c r="M92">
        <v>5.4877484152737894</v>
      </c>
      <c r="N92">
        <v>11.876780491013173</v>
      </c>
      <c r="O92" s="4">
        <v>8.4535689666666677E-2</v>
      </c>
      <c r="P92">
        <v>0.12625000000000003</v>
      </c>
      <c r="Q92">
        <f t="shared" si="3"/>
        <v>13.719371038184475</v>
      </c>
      <c r="R92">
        <v>0.27374999999999994</v>
      </c>
      <c r="S92">
        <f t="shared" si="4"/>
        <v>0.39999999999999997</v>
      </c>
      <c r="T92">
        <v>0.6</v>
      </c>
      <c r="U92">
        <v>10037209032.700626</v>
      </c>
      <c r="V92">
        <v>476410615.78884101</v>
      </c>
      <c r="W92">
        <f t="shared" si="5"/>
        <v>4.746445094813944E-2</v>
      </c>
      <c r="X92">
        <v>0</v>
      </c>
      <c r="Y92">
        <v>7.4373741526615068E-3</v>
      </c>
      <c r="Z92">
        <v>0.43443898891234478</v>
      </c>
      <c r="AA92">
        <v>0.65303755967716892</v>
      </c>
      <c r="AB92">
        <v>0.66787311766930502</v>
      </c>
      <c r="AC92" t="s">
        <v>241</v>
      </c>
      <c r="AD92">
        <v>10.762558749060572</v>
      </c>
      <c r="AE92">
        <v>4.9995888806079289</v>
      </c>
      <c r="AF92">
        <v>0.47583333333333461</v>
      </c>
      <c r="AG92">
        <v>1.7416666666666683</v>
      </c>
      <c r="AH92">
        <v>2.4800000000000009</v>
      </c>
      <c r="AI92">
        <v>8.8416559586765491</v>
      </c>
      <c r="AJ92">
        <v>32.362628640339672</v>
      </c>
      <c r="AK92" s="3">
        <v>46.081905662033883</v>
      </c>
      <c r="AL92" s="3"/>
      <c r="AM92" s="3"/>
    </row>
    <row r="93" spans="1:39" x14ac:dyDescent="0.35">
      <c r="A93" t="s">
        <v>177</v>
      </c>
      <c r="B93" t="s">
        <v>88</v>
      </c>
      <c r="C93" s="5" t="s">
        <v>259</v>
      </c>
      <c r="D93">
        <v>312468.99999999988</v>
      </c>
      <c r="E93">
        <v>6098487</v>
      </c>
      <c r="F93">
        <v>6</v>
      </c>
      <c r="G93" t="s">
        <v>225</v>
      </c>
      <c r="H93" t="s">
        <v>95</v>
      </c>
      <c r="I93" t="s">
        <v>106</v>
      </c>
      <c r="J93" s="3">
        <v>5.61</v>
      </c>
      <c r="K93" s="4">
        <v>2.9631549171408835</v>
      </c>
      <c r="L93">
        <v>0.39715766645673556</v>
      </c>
      <c r="M93">
        <v>4.6864271588478212</v>
      </c>
      <c r="N93">
        <v>11.825269396147112</v>
      </c>
      <c r="O93" s="4">
        <v>8.2926353333333327E-2</v>
      </c>
      <c r="P93">
        <v>8.3750000000000019E-2</v>
      </c>
      <c r="Q93">
        <f t="shared" si="3"/>
        <v>10.21564503291078</v>
      </c>
      <c r="R93">
        <v>0.37500000000000006</v>
      </c>
      <c r="S93">
        <f t="shared" si="4"/>
        <v>0.4587500000000001</v>
      </c>
      <c r="T93">
        <v>0.5412499999999999</v>
      </c>
      <c r="U93">
        <v>11683422891.314659</v>
      </c>
      <c r="V93">
        <v>166194.66910638884</v>
      </c>
      <c r="W93">
        <f t="shared" si="5"/>
        <v>1.42248269751441E-5</v>
      </c>
      <c r="X93">
        <v>0</v>
      </c>
      <c r="Y93">
        <v>7.4373741526615068E-3</v>
      </c>
      <c r="Z93">
        <v>0.43443898891234478</v>
      </c>
      <c r="AA93">
        <v>0.65303755967716892</v>
      </c>
      <c r="AB93">
        <v>0.66787311766930502</v>
      </c>
      <c r="AC93" t="s">
        <v>241</v>
      </c>
      <c r="AD93">
        <v>13.804303572133735</v>
      </c>
      <c r="AE93">
        <v>6.7948008129989947</v>
      </c>
      <c r="AF93">
        <v>0.5033333333333343</v>
      </c>
      <c r="AG93">
        <v>1.1248333333333314</v>
      </c>
      <c r="AH93">
        <v>1.2500000000000011</v>
      </c>
      <c r="AI93">
        <v>9.9100971654861869</v>
      </c>
      <c r="AJ93">
        <v>22.146770122472194</v>
      </c>
      <c r="AK93" s="3">
        <v>24.611168457333218</v>
      </c>
      <c r="AL93" s="3"/>
      <c r="AM93" s="3"/>
    </row>
    <row r="94" spans="1:39" x14ac:dyDescent="0.35">
      <c r="A94" t="s">
        <v>120</v>
      </c>
      <c r="B94" t="s">
        <v>91</v>
      </c>
      <c r="C94" s="5" t="s">
        <v>260</v>
      </c>
      <c r="D94">
        <v>312848</v>
      </c>
      <c r="E94">
        <v>6098782</v>
      </c>
      <c r="F94">
        <v>6</v>
      </c>
      <c r="G94" t="s">
        <v>225</v>
      </c>
      <c r="H94" t="s">
        <v>95</v>
      </c>
      <c r="I94" t="s">
        <v>107</v>
      </c>
      <c r="J94" s="3">
        <v>6.75</v>
      </c>
      <c r="K94" s="4">
        <v>1.7200889709203173</v>
      </c>
      <c r="L94">
        <v>0.13863232361269226</v>
      </c>
      <c r="M94">
        <v>1.8777163377488792</v>
      </c>
      <c r="N94">
        <v>13.670400667560337</v>
      </c>
      <c r="O94" s="4">
        <v>4.4331533333333339E-2</v>
      </c>
      <c r="P94">
        <v>0.17125000000000001</v>
      </c>
      <c r="Q94">
        <f t="shared" si="3"/>
        <v>3.1295272295814649</v>
      </c>
      <c r="R94">
        <v>0.42875000000000002</v>
      </c>
      <c r="S94">
        <f t="shared" si="4"/>
        <v>0.60000000000000009</v>
      </c>
      <c r="T94">
        <v>0.4</v>
      </c>
      <c r="U94">
        <v>12958086229.600229</v>
      </c>
      <c r="V94">
        <v>62997452.84424939</v>
      </c>
      <c r="W94">
        <f t="shared" si="5"/>
        <v>4.8616324762790937E-3</v>
      </c>
      <c r="X94">
        <v>0.67628118418608163</v>
      </c>
      <c r="Y94">
        <v>0.59296200284635536</v>
      </c>
      <c r="Z94">
        <v>0.63693024673760679</v>
      </c>
      <c r="AA94">
        <v>0.73062623105424029</v>
      </c>
      <c r="AB94">
        <v>0.67021547099496348</v>
      </c>
      <c r="AC94" t="s">
        <v>241</v>
      </c>
      <c r="AD94">
        <v>11.247223928386783</v>
      </c>
      <c r="AE94">
        <v>7.4020033669076239</v>
      </c>
      <c r="AF94">
        <v>0.8925000000000024</v>
      </c>
      <c r="AG94">
        <v>1.2625000000000015</v>
      </c>
      <c r="AH94">
        <v>1.6575000000000006</v>
      </c>
      <c r="AI94">
        <v>23.494821644980373</v>
      </c>
      <c r="AJ94">
        <v>33.234971794720082</v>
      </c>
      <c r="AK94" s="3">
        <v>43.633240197820577</v>
      </c>
      <c r="AL94" s="3"/>
      <c r="AM94" s="3"/>
    </row>
    <row r="95" spans="1:39" x14ac:dyDescent="0.35">
      <c r="A95" t="s">
        <v>178</v>
      </c>
      <c r="B95" t="s">
        <v>90</v>
      </c>
      <c r="C95" s="5" t="s">
        <v>260</v>
      </c>
      <c r="D95">
        <v>312848</v>
      </c>
      <c r="E95">
        <v>6098782</v>
      </c>
      <c r="F95">
        <v>6</v>
      </c>
      <c r="G95" t="s">
        <v>225</v>
      </c>
      <c r="H95" t="s">
        <v>95</v>
      </c>
      <c r="I95" t="s">
        <v>108</v>
      </c>
      <c r="J95" s="3">
        <v>5.87</v>
      </c>
      <c r="K95" s="4">
        <v>1.8241372820626622</v>
      </c>
      <c r="L95">
        <v>0.1681783509300786</v>
      </c>
      <c r="M95">
        <v>2.3422860275155037</v>
      </c>
      <c r="N95">
        <v>13.923970713949272</v>
      </c>
      <c r="O95" s="4">
        <v>4.5451823999999995E-2</v>
      </c>
      <c r="P95">
        <v>0.23375000000000004</v>
      </c>
      <c r="Q95">
        <f t="shared" si="3"/>
        <v>4.9311284789800078</v>
      </c>
      <c r="R95">
        <v>0.24124999999999996</v>
      </c>
      <c r="S95">
        <f t="shared" si="4"/>
        <v>0.47499999999999998</v>
      </c>
      <c r="T95">
        <v>0.52500000000000002</v>
      </c>
      <c r="U95">
        <v>8359197960.2806377</v>
      </c>
      <c r="V95">
        <v>133906857.81986809</v>
      </c>
      <c r="W95">
        <f t="shared" si="5"/>
        <v>1.6019103561865224E-2</v>
      </c>
      <c r="X95">
        <v>0.67628118418608163</v>
      </c>
      <c r="Y95">
        <v>0.59296200284635536</v>
      </c>
      <c r="Z95">
        <v>0.63693024673760679</v>
      </c>
      <c r="AA95">
        <v>0.73062623105424029</v>
      </c>
      <c r="AB95">
        <v>0.67021547099496348</v>
      </c>
      <c r="AC95" t="s">
        <v>241</v>
      </c>
      <c r="AD95">
        <v>19.522570143879197</v>
      </c>
      <c r="AE95">
        <v>9.0891544863096918</v>
      </c>
      <c r="AF95">
        <v>0.59750000000000092</v>
      </c>
      <c r="AG95">
        <v>1.3508333333333324</v>
      </c>
      <c r="AH95">
        <v>1.9041666666666668</v>
      </c>
      <c r="AI95">
        <v>11.127161568473561</v>
      </c>
      <c r="AJ95">
        <v>25.156386195949242</v>
      </c>
      <c r="AK95" s="3">
        <v>35.461037913475671</v>
      </c>
      <c r="AL95" s="3"/>
      <c r="AM95" s="3"/>
    </row>
    <row r="96" spans="1:39" x14ac:dyDescent="0.35">
      <c r="A96" t="s">
        <v>150</v>
      </c>
      <c r="B96" t="s">
        <v>92</v>
      </c>
      <c r="C96" s="5" t="s">
        <v>266</v>
      </c>
      <c r="D96">
        <v>313072.99999999988</v>
      </c>
      <c r="E96">
        <v>6098841</v>
      </c>
      <c r="F96">
        <v>6</v>
      </c>
      <c r="G96" t="s">
        <v>43</v>
      </c>
      <c r="H96" t="s">
        <v>95</v>
      </c>
      <c r="I96" t="s">
        <v>43</v>
      </c>
      <c r="J96" s="3">
        <v>6.07</v>
      </c>
      <c r="K96" s="4">
        <v>2.9655784596834196</v>
      </c>
      <c r="L96">
        <v>0.17259451492698996</v>
      </c>
      <c r="M96">
        <v>2.7975696604674383</v>
      </c>
      <c r="N96">
        <v>16.162207287638431</v>
      </c>
      <c r="O96" s="4">
        <v>3.3806204666666666E-2</v>
      </c>
      <c r="P96">
        <v>0.30875000000000002</v>
      </c>
      <c r="Q96">
        <f t="shared" si="3"/>
        <v>5.168719926960625</v>
      </c>
      <c r="R96">
        <v>0.23249999999999996</v>
      </c>
      <c r="S96">
        <f t="shared" si="4"/>
        <v>0.54125000000000001</v>
      </c>
      <c r="T96">
        <v>0.45874999999999999</v>
      </c>
      <c r="U96">
        <v>7510949042.7500553</v>
      </c>
      <c r="V96">
        <v>239843153.03310353</v>
      </c>
      <c r="W96">
        <f t="shared" si="5"/>
        <v>3.1932469740906064E-2</v>
      </c>
      <c r="X96">
        <v>0.92803247316884174</v>
      </c>
      <c r="Y96">
        <v>0.88331903018332669</v>
      </c>
      <c r="Z96">
        <v>0.80789848712557044</v>
      </c>
      <c r="AA96">
        <v>0.71330189718880133</v>
      </c>
      <c r="AB96">
        <v>0.68484468778647967</v>
      </c>
      <c r="AC96" t="s">
        <v>217</v>
      </c>
      <c r="AD96">
        <v>13.303433468864288</v>
      </c>
      <c r="AE96">
        <v>1.4478151708244389</v>
      </c>
      <c r="AF96">
        <v>0.310000000000001</v>
      </c>
      <c r="AG96">
        <v>0.90166666666666362</v>
      </c>
      <c r="AH96">
        <v>0.80333333333333368</v>
      </c>
      <c r="AI96">
        <v>1.3494943361982885</v>
      </c>
      <c r="AJ96">
        <v>3.9251421284046724</v>
      </c>
      <c r="AK96" s="3">
        <v>3.497076720685877</v>
      </c>
      <c r="AL96" s="3"/>
      <c r="AM96" s="3"/>
    </row>
    <row r="97" spans="1:29" x14ac:dyDescent="0.35">
      <c r="A97" t="s">
        <v>148</v>
      </c>
      <c r="B97" t="s">
        <v>93</v>
      </c>
      <c r="C97" s="5" t="s">
        <v>266</v>
      </c>
      <c r="D97">
        <v>313072.99999999988</v>
      </c>
      <c r="E97">
        <v>6098841</v>
      </c>
      <c r="F97">
        <v>6</v>
      </c>
      <c r="G97" t="s">
        <v>43</v>
      </c>
      <c r="H97" t="s">
        <v>95</v>
      </c>
      <c r="I97" t="s">
        <v>43</v>
      </c>
      <c r="J97" s="3">
        <v>6.27</v>
      </c>
      <c r="K97" s="4">
        <v>4.3186983952907987</v>
      </c>
      <c r="L97">
        <v>0.51010279294709937</v>
      </c>
      <c r="M97">
        <v>7.5034807621417556</v>
      </c>
      <c r="N97">
        <v>14.820034425486121</v>
      </c>
      <c r="O97" s="4">
        <v>3.2720344999999998E-2</v>
      </c>
      <c r="P97">
        <v>0.18875000000000003</v>
      </c>
      <c r="Q97">
        <f t="shared" si="3"/>
        <v>20.699257274873805</v>
      </c>
      <c r="R97">
        <v>0.17375000000000004</v>
      </c>
      <c r="S97">
        <f t="shared" si="4"/>
        <v>0.36250000000000004</v>
      </c>
      <c r="T97">
        <v>0.63749999999999996</v>
      </c>
      <c r="U97">
        <v>12052061171.996117</v>
      </c>
      <c r="V97">
        <v>158912530.29243478</v>
      </c>
      <c r="W97">
        <f t="shared" si="5"/>
        <v>1.3185506447783402E-2</v>
      </c>
      <c r="X97">
        <v>0.92803247316884174</v>
      </c>
      <c r="Y97">
        <v>0.88331903018332669</v>
      </c>
      <c r="Z97">
        <v>0.80789848712557044</v>
      </c>
      <c r="AA97">
        <v>0.71330189718880133</v>
      </c>
      <c r="AB97">
        <v>0.68484468778647967</v>
      </c>
      <c r="AC97" t="s">
        <v>217</v>
      </c>
    </row>
    <row r="98" spans="1:29" x14ac:dyDescent="0.35">
      <c r="A98" t="s">
        <v>179</v>
      </c>
      <c r="B98" t="s">
        <v>48</v>
      </c>
      <c r="C98" s="5" t="s">
        <v>243</v>
      </c>
      <c r="D98">
        <v>320995.59999999998</v>
      </c>
      <c r="E98">
        <v>6155792.2999999998</v>
      </c>
      <c r="F98">
        <v>1</v>
      </c>
      <c r="G98" t="s">
        <v>225</v>
      </c>
      <c r="H98" t="s">
        <v>96</v>
      </c>
      <c r="I98" t="s">
        <v>103</v>
      </c>
      <c r="J98" s="3">
        <v>6.3</v>
      </c>
      <c r="K98" s="3">
        <v>1.1694560078375253</v>
      </c>
      <c r="L98" s="3">
        <v>0.2151724290949609</v>
      </c>
      <c r="M98" s="3">
        <v>2.3906230130857078</v>
      </c>
      <c r="N98" s="3">
        <v>11.122752055767622</v>
      </c>
      <c r="O98" s="3">
        <v>0.11423641999999999</v>
      </c>
      <c r="P98">
        <v>0.166875</v>
      </c>
      <c r="Q98">
        <f t="shared" si="3"/>
        <v>5.5757971150687053</v>
      </c>
      <c r="R98">
        <v>0.26187500000000008</v>
      </c>
      <c r="S98">
        <f t="shared" si="4"/>
        <v>0.42875000000000008</v>
      </c>
      <c r="T98">
        <v>0.57124999999999992</v>
      </c>
      <c r="U98">
        <v>9629963946.2118111</v>
      </c>
      <c r="V98">
        <v>214232054.09816444</v>
      </c>
      <c r="W98">
        <f t="shared" si="5"/>
        <v>2.2246402509371595E-2</v>
      </c>
      <c r="X98">
        <v>0.49707271826460753</v>
      </c>
      <c r="Y98">
        <v>0.54463814652891485</v>
      </c>
      <c r="Z98">
        <v>0.34871354144153299</v>
      </c>
      <c r="AA98">
        <v>0.20725825140187598</v>
      </c>
      <c r="AB98">
        <v>0.31258178519035434</v>
      </c>
      <c r="AC98" t="s">
        <v>240</v>
      </c>
    </row>
    <row r="99" spans="1:29" x14ac:dyDescent="0.35">
      <c r="A99" t="s">
        <v>126</v>
      </c>
      <c r="B99" t="s">
        <v>47</v>
      </c>
      <c r="C99" s="5" t="s">
        <v>243</v>
      </c>
      <c r="D99">
        <v>320995.59999999998</v>
      </c>
      <c r="E99">
        <v>6155792.2999999998</v>
      </c>
      <c r="F99">
        <v>1</v>
      </c>
      <c r="G99" t="s">
        <v>225</v>
      </c>
      <c r="H99" t="s">
        <v>96</v>
      </c>
      <c r="I99" t="s">
        <v>104</v>
      </c>
      <c r="J99" s="3">
        <v>6.9</v>
      </c>
      <c r="K99" s="3">
        <v>2.0581012911930312</v>
      </c>
      <c r="L99" s="3">
        <v>0.34585264170079877</v>
      </c>
      <c r="M99" s="3">
        <v>3.664412769979521</v>
      </c>
      <c r="N99" s="3">
        <v>10.610645758723111</v>
      </c>
      <c r="O99" s="3">
        <v>0.11540841066666667</v>
      </c>
      <c r="P99">
        <v>0.15437499999999998</v>
      </c>
      <c r="Q99">
        <f t="shared" si="3"/>
        <v>7.45936441726111</v>
      </c>
      <c r="R99">
        <v>0.33687500000000009</v>
      </c>
      <c r="S99">
        <f t="shared" si="4"/>
        <v>0.49125000000000008</v>
      </c>
      <c r="T99">
        <v>0.50874999999999992</v>
      </c>
      <c r="U99">
        <v>6889999251.5542326</v>
      </c>
      <c r="V99">
        <v>202102646.86598858</v>
      </c>
      <c r="W99">
        <f t="shared" si="5"/>
        <v>2.9332753094334321E-2</v>
      </c>
      <c r="X99">
        <v>0.49707271826460753</v>
      </c>
      <c r="Y99">
        <v>0.54463814652891485</v>
      </c>
      <c r="Z99">
        <v>0.34871354144153299</v>
      </c>
      <c r="AA99">
        <v>0.20725825140187598</v>
      </c>
      <c r="AB99">
        <v>0.31258178519035434</v>
      </c>
      <c r="AC99" t="s">
        <v>240</v>
      </c>
    </row>
    <row r="100" spans="1:29" x14ac:dyDescent="0.35">
      <c r="A100" t="s">
        <v>135</v>
      </c>
      <c r="B100" t="s">
        <v>50</v>
      </c>
      <c r="C100" s="5" t="s">
        <v>244</v>
      </c>
      <c r="D100">
        <v>321331.00000000012</v>
      </c>
      <c r="E100">
        <v>6155264</v>
      </c>
      <c r="F100">
        <v>1</v>
      </c>
      <c r="G100" t="s">
        <v>225</v>
      </c>
      <c r="H100" t="s">
        <v>96</v>
      </c>
      <c r="I100" t="s">
        <v>105</v>
      </c>
      <c r="J100" s="3">
        <v>6.52</v>
      </c>
      <c r="K100" s="3">
        <v>2.6819030522560197</v>
      </c>
      <c r="L100" s="3">
        <v>0.27462205767767295</v>
      </c>
      <c r="M100" s="3">
        <v>3.3032756577968239</v>
      </c>
      <c r="N100" s="3">
        <v>12.00888663727048</v>
      </c>
      <c r="O100" s="3">
        <v>7.1970487666666666E-2</v>
      </c>
      <c r="P100">
        <v>0.20875000000000005</v>
      </c>
      <c r="Q100">
        <f t="shared" si="3"/>
        <v>5.0858747618118914</v>
      </c>
      <c r="R100">
        <v>0.44075000000000003</v>
      </c>
      <c r="S100">
        <f t="shared" si="4"/>
        <v>0.64950000000000008</v>
      </c>
      <c r="T100">
        <v>0.35049999999999998</v>
      </c>
      <c r="U100">
        <v>4929622784.8383904</v>
      </c>
      <c r="V100">
        <v>88399866.471413836</v>
      </c>
      <c r="W100">
        <f t="shared" si="5"/>
        <v>1.7932379480088734E-2</v>
      </c>
      <c r="X100">
        <v>0.26025016294386727</v>
      </c>
      <c r="Y100">
        <v>0.27363232818160449</v>
      </c>
      <c r="Z100">
        <v>0.38919906392156089</v>
      </c>
      <c r="AA100">
        <v>0.43633473564233372</v>
      </c>
      <c r="AB100">
        <v>0.36792466988972189</v>
      </c>
      <c r="AC100" t="s">
        <v>241</v>
      </c>
    </row>
    <row r="101" spans="1:29" x14ac:dyDescent="0.35">
      <c r="A101" t="s">
        <v>180</v>
      </c>
      <c r="B101" t="s">
        <v>49</v>
      </c>
      <c r="C101" s="5" t="s">
        <v>244</v>
      </c>
      <c r="D101">
        <v>321331.00000000012</v>
      </c>
      <c r="E101">
        <v>6155264</v>
      </c>
      <c r="F101">
        <v>1</v>
      </c>
      <c r="G101" t="s">
        <v>225</v>
      </c>
      <c r="H101" t="s">
        <v>96</v>
      </c>
      <c r="I101" t="s">
        <v>106</v>
      </c>
      <c r="J101" s="3">
        <v>6.5</v>
      </c>
      <c r="K101" s="3">
        <v>1.2207573586963281</v>
      </c>
      <c r="L101" s="3">
        <v>0.14748375286391621</v>
      </c>
      <c r="M101" s="3">
        <v>1.6912764816797707</v>
      </c>
      <c r="N101" s="3">
        <v>11.45890231243092</v>
      </c>
      <c r="O101" s="3">
        <v>7.8502664999999999E-2</v>
      </c>
      <c r="P101">
        <v>0.24187500000000001</v>
      </c>
      <c r="Q101">
        <f t="shared" si="3"/>
        <v>2.446692921055726</v>
      </c>
      <c r="R101">
        <v>0.44937500000000002</v>
      </c>
      <c r="S101">
        <f t="shared" si="4"/>
        <v>0.69125000000000003</v>
      </c>
      <c r="T101">
        <v>0.30875000000000002</v>
      </c>
      <c r="U101">
        <v>13274985184.636707</v>
      </c>
      <c r="V101">
        <v>151011405.10895833</v>
      </c>
      <c r="W101">
        <f t="shared" si="5"/>
        <v>1.1375636432628608E-2</v>
      </c>
      <c r="X101">
        <v>0.26025016294386727</v>
      </c>
      <c r="Y101">
        <v>0.27363232818160449</v>
      </c>
      <c r="Z101">
        <v>0.38919906392156089</v>
      </c>
      <c r="AA101">
        <v>0.43633473564233372</v>
      </c>
      <c r="AB101">
        <v>0.36792466988972189</v>
      </c>
      <c r="AC101" t="s">
        <v>241</v>
      </c>
    </row>
    <row r="102" spans="1:29" x14ac:dyDescent="0.35">
      <c r="A102" t="s">
        <v>139</v>
      </c>
      <c r="B102" t="s">
        <v>52</v>
      </c>
      <c r="C102" s="5" t="s">
        <v>245</v>
      </c>
      <c r="D102">
        <v>328312</v>
      </c>
      <c r="E102">
        <v>6156782</v>
      </c>
      <c r="F102">
        <v>1</v>
      </c>
      <c r="G102" t="s">
        <v>225</v>
      </c>
      <c r="H102" t="s">
        <v>96</v>
      </c>
      <c r="I102" t="s">
        <v>107</v>
      </c>
      <c r="J102" s="3">
        <v>6.07</v>
      </c>
      <c r="K102" s="3">
        <v>1.6793281495191132</v>
      </c>
      <c r="L102" s="3">
        <v>0.24568047269551888</v>
      </c>
      <c r="M102" s="3">
        <v>2.7552780169753941</v>
      </c>
      <c r="N102" s="3">
        <v>11.206643422367359</v>
      </c>
      <c r="O102" s="3">
        <v>3.9484940000000003E-2</v>
      </c>
      <c r="P102">
        <v>0.11687500000000001</v>
      </c>
      <c r="Q102">
        <f t="shared" si="3"/>
        <v>6.6192865272682129</v>
      </c>
      <c r="R102">
        <v>0.29937500000000006</v>
      </c>
      <c r="S102">
        <f t="shared" si="4"/>
        <v>0.41625000000000006</v>
      </c>
      <c r="T102">
        <v>0.58374999999999988</v>
      </c>
      <c r="U102">
        <v>11209385083.557791</v>
      </c>
      <c r="V102">
        <v>197733308.18020597</v>
      </c>
      <c r="W102">
        <f t="shared" si="5"/>
        <v>1.7639978170635444E-2</v>
      </c>
      <c r="X102">
        <v>0.28963016543863113</v>
      </c>
      <c r="Y102">
        <v>0.50947355194859378</v>
      </c>
      <c r="Z102">
        <v>0.58315643879119383</v>
      </c>
      <c r="AA102">
        <v>0.67081834991939548</v>
      </c>
      <c r="AB102">
        <v>0.8159957966131427</v>
      </c>
      <c r="AC102" t="s">
        <v>241</v>
      </c>
    </row>
    <row r="103" spans="1:29" x14ac:dyDescent="0.35">
      <c r="A103" t="s">
        <v>181</v>
      </c>
      <c r="B103" t="s">
        <v>51</v>
      </c>
      <c r="C103" s="5" t="s">
        <v>245</v>
      </c>
      <c r="D103">
        <v>328312</v>
      </c>
      <c r="E103">
        <v>6156782</v>
      </c>
      <c r="F103">
        <v>1</v>
      </c>
      <c r="G103" t="s">
        <v>225</v>
      </c>
      <c r="H103" t="s">
        <v>96</v>
      </c>
      <c r="I103" t="s">
        <v>108</v>
      </c>
      <c r="J103" s="3">
        <v>6.12</v>
      </c>
      <c r="K103" s="3">
        <v>1.2450030220449084</v>
      </c>
      <c r="L103" s="3">
        <v>0.18360480177153557</v>
      </c>
      <c r="M103" s="3">
        <v>2.0752096788821768</v>
      </c>
      <c r="N103" s="3">
        <v>11.322326681376351</v>
      </c>
      <c r="O103" s="3">
        <v>3.6219269999999998E-2</v>
      </c>
      <c r="P103">
        <v>0.13375000000000001</v>
      </c>
      <c r="Q103">
        <f t="shared" si="3"/>
        <v>5.1398382139496634</v>
      </c>
      <c r="R103">
        <v>0.27000000000000007</v>
      </c>
      <c r="S103">
        <f t="shared" si="4"/>
        <v>0.40375000000000005</v>
      </c>
      <c r="T103">
        <v>0.59624999999999995</v>
      </c>
      <c r="U103">
        <v>9465194288.6463203</v>
      </c>
      <c r="V103">
        <v>78102089.258823827</v>
      </c>
      <c r="W103">
        <f t="shared" si="5"/>
        <v>8.251504076626167E-3</v>
      </c>
      <c r="X103">
        <v>0.28963016543863113</v>
      </c>
      <c r="Y103">
        <v>0.50947355194859378</v>
      </c>
      <c r="Z103">
        <v>0.58315643879119383</v>
      </c>
      <c r="AA103">
        <v>0.67081834991939548</v>
      </c>
      <c r="AB103">
        <v>0.8159957966131427</v>
      </c>
      <c r="AC103" t="s">
        <v>241</v>
      </c>
    </row>
    <row r="104" spans="1:29" x14ac:dyDescent="0.35">
      <c r="A104" t="s">
        <v>146</v>
      </c>
      <c r="B104" t="s">
        <v>53</v>
      </c>
      <c r="C104" s="5" t="s">
        <v>261</v>
      </c>
      <c r="D104">
        <v>328211.7</v>
      </c>
      <c r="E104">
        <v>6156583.5</v>
      </c>
      <c r="F104">
        <v>1</v>
      </c>
      <c r="G104" t="s">
        <v>43</v>
      </c>
      <c r="H104" t="s">
        <v>96</v>
      </c>
      <c r="I104" t="s">
        <v>43</v>
      </c>
      <c r="J104">
        <v>6.43</v>
      </c>
      <c r="K104">
        <v>2.7738303086152745</v>
      </c>
      <c r="L104">
        <v>0.43337225390957945</v>
      </c>
      <c r="M104">
        <v>7.0403127929750298</v>
      </c>
      <c r="N104">
        <v>16.24450772247209</v>
      </c>
      <c r="O104">
        <v>2.5721919333333332E-2</v>
      </c>
      <c r="P104">
        <v>0.10125000000000002</v>
      </c>
      <c r="Q104">
        <f t="shared" si="3"/>
        <v>30.693461767738544</v>
      </c>
      <c r="R104">
        <v>0.12812500000000002</v>
      </c>
      <c r="S104">
        <f t="shared" si="4"/>
        <v>0.22937500000000005</v>
      </c>
      <c r="T104">
        <v>0.770625</v>
      </c>
      <c r="U104">
        <v>11483518343.411171</v>
      </c>
      <c r="V104">
        <v>470546486.00325745</v>
      </c>
      <c r="W104">
        <f t="shared" si="5"/>
        <v>4.0975811761840404E-2</v>
      </c>
      <c r="X104">
        <v>0.61376512253958515</v>
      </c>
      <c r="Y104">
        <v>0.65756015237669185</v>
      </c>
      <c r="Z104">
        <v>0.68288908606549281</v>
      </c>
      <c r="AA104">
        <v>0.73568576669513164</v>
      </c>
      <c r="AB104">
        <v>0.82890746418839312</v>
      </c>
      <c r="AC104" t="s">
        <v>217</v>
      </c>
    </row>
    <row r="105" spans="1:29" x14ac:dyDescent="0.35">
      <c r="A105" t="s">
        <v>182</v>
      </c>
      <c r="B105" t="s">
        <v>54</v>
      </c>
      <c r="C105" s="5" t="s">
        <v>261</v>
      </c>
      <c r="D105">
        <v>328211.7</v>
      </c>
      <c r="E105">
        <v>6156583.5</v>
      </c>
      <c r="F105" s="1">
        <v>1</v>
      </c>
      <c r="G105" t="s">
        <v>43</v>
      </c>
      <c r="H105" t="s">
        <v>96</v>
      </c>
      <c r="I105" t="s">
        <v>43</v>
      </c>
      <c r="J105">
        <v>5.67</v>
      </c>
      <c r="K105">
        <v>2.4819286772891171</v>
      </c>
      <c r="L105">
        <v>0.3635128294451877</v>
      </c>
      <c r="M105">
        <v>5.798489302346244</v>
      </c>
      <c r="N105">
        <v>15.794658610506888</v>
      </c>
      <c r="O105">
        <v>2.1469441666666669E-2</v>
      </c>
      <c r="P105">
        <v>7.6250000000000012E-2</v>
      </c>
      <c r="Q105">
        <f t="shared" si="3"/>
        <v>44.819240984318789</v>
      </c>
      <c r="R105">
        <v>5.3125000000000006E-2</v>
      </c>
      <c r="S105">
        <f t="shared" si="4"/>
        <v>0.12937500000000002</v>
      </c>
      <c r="T105">
        <v>0.87062499999999998</v>
      </c>
      <c r="U105">
        <v>9175680910.0559559</v>
      </c>
      <c r="V105">
        <v>64860339.174355812</v>
      </c>
      <c r="W105">
        <f t="shared" si="5"/>
        <v>7.068722180963492E-3</v>
      </c>
      <c r="X105">
        <v>0.61376512253958515</v>
      </c>
      <c r="Y105">
        <v>0.65756015237669185</v>
      </c>
      <c r="Z105">
        <v>0.68288908606549281</v>
      </c>
      <c r="AA105">
        <v>0.73568576669513164</v>
      </c>
      <c r="AB105">
        <v>0.82890746418839312</v>
      </c>
      <c r="AC105" t="s">
        <v>217</v>
      </c>
    </row>
    <row r="106" spans="1:29" x14ac:dyDescent="0.35">
      <c r="A106" t="s">
        <v>142</v>
      </c>
      <c r="B106" t="s">
        <v>56</v>
      </c>
      <c r="C106" s="5" t="s">
        <v>246</v>
      </c>
      <c r="D106">
        <v>314903.59999999998</v>
      </c>
      <c r="E106">
        <v>6129147.5</v>
      </c>
      <c r="F106">
        <v>2</v>
      </c>
      <c r="G106" t="s">
        <v>225</v>
      </c>
      <c r="H106" t="s">
        <v>96</v>
      </c>
      <c r="I106" t="s">
        <v>103</v>
      </c>
      <c r="J106" s="3">
        <v>6.41</v>
      </c>
      <c r="K106" s="3">
        <v>3.5779150379621831</v>
      </c>
      <c r="L106" s="3">
        <v>0.49937117454462099</v>
      </c>
      <c r="M106" s="3">
        <v>6.3716958789523401</v>
      </c>
      <c r="N106" s="3">
        <v>12.72126295960085</v>
      </c>
      <c r="O106" s="3">
        <v>0.10588892866666666</v>
      </c>
      <c r="P106">
        <v>0.19187499999999999</v>
      </c>
      <c r="Q106">
        <f t="shared" si="3"/>
        <v>18.67163627531821</v>
      </c>
      <c r="R106">
        <v>0.14937500000000006</v>
      </c>
      <c r="S106">
        <f t="shared" si="4"/>
        <v>0.34125000000000005</v>
      </c>
      <c r="T106">
        <v>0.65874999999999995</v>
      </c>
      <c r="U106">
        <v>10002623981.768698</v>
      </c>
      <c r="V106">
        <v>85860889.572293162</v>
      </c>
      <c r="W106">
        <f t="shared" si="5"/>
        <v>8.5838365741617087E-3</v>
      </c>
      <c r="X106">
        <v>0.55592821621999045</v>
      </c>
      <c r="Y106">
        <v>0.49185376030031985</v>
      </c>
      <c r="Z106">
        <v>0.40011498835269749</v>
      </c>
      <c r="AA106">
        <v>0.27827923489731715</v>
      </c>
      <c r="AB106">
        <v>0.27187198793071909</v>
      </c>
      <c r="AC106" t="s">
        <v>240</v>
      </c>
    </row>
    <row r="107" spans="1:29" x14ac:dyDescent="0.35">
      <c r="A107" t="s">
        <v>183</v>
      </c>
      <c r="B107" t="s">
        <v>55</v>
      </c>
      <c r="C107" s="5" t="s">
        <v>246</v>
      </c>
      <c r="D107">
        <v>314903.59999999998</v>
      </c>
      <c r="E107">
        <v>6129147.5</v>
      </c>
      <c r="F107">
        <v>2</v>
      </c>
      <c r="G107" t="s">
        <v>225</v>
      </c>
      <c r="H107" t="s">
        <v>96</v>
      </c>
      <c r="I107" t="s">
        <v>104</v>
      </c>
      <c r="J107" s="3">
        <v>6.12</v>
      </c>
      <c r="K107" s="3">
        <v>2.3118798292875895</v>
      </c>
      <c r="L107" s="3">
        <v>0.31054674992758896</v>
      </c>
      <c r="M107" s="3">
        <v>3.4363652761195174</v>
      </c>
      <c r="N107" s="3">
        <v>11.066800440271598</v>
      </c>
      <c r="O107" s="3">
        <v>0.11616120100000001</v>
      </c>
      <c r="P107">
        <v>0.13375000000000001</v>
      </c>
      <c r="Q107">
        <f t="shared" si="3"/>
        <v>10.069934875075507</v>
      </c>
      <c r="R107">
        <v>0.20750000000000007</v>
      </c>
      <c r="S107">
        <f t="shared" si="4"/>
        <v>0.34125000000000005</v>
      </c>
      <c r="T107">
        <v>0.65874999999999995</v>
      </c>
      <c r="U107">
        <v>10176749190.187244</v>
      </c>
      <c r="V107">
        <v>93025069.519417316</v>
      </c>
      <c r="W107">
        <f t="shared" si="5"/>
        <v>9.1409415502855407E-3</v>
      </c>
      <c r="X107">
        <v>0.55592821621999045</v>
      </c>
      <c r="Y107">
        <v>0.49185376030031985</v>
      </c>
      <c r="Z107">
        <v>0.40011498835269749</v>
      </c>
      <c r="AA107">
        <v>0.27827923489731715</v>
      </c>
      <c r="AB107">
        <v>0.27187198793071909</v>
      </c>
      <c r="AC107" t="s">
        <v>240</v>
      </c>
    </row>
    <row r="108" spans="1:29" x14ac:dyDescent="0.35">
      <c r="A108" t="s">
        <v>143</v>
      </c>
      <c r="B108" t="s">
        <v>58</v>
      </c>
      <c r="C108" s="5" t="s">
        <v>247</v>
      </c>
      <c r="D108">
        <v>311324</v>
      </c>
      <c r="E108">
        <v>6124637</v>
      </c>
      <c r="F108">
        <v>2</v>
      </c>
      <c r="G108" t="s">
        <v>225</v>
      </c>
      <c r="H108" t="s">
        <v>96</v>
      </c>
      <c r="I108" t="s">
        <v>105</v>
      </c>
      <c r="J108" s="3">
        <v>6.52</v>
      </c>
      <c r="K108" s="3">
        <v>3.1277349362021787</v>
      </c>
      <c r="L108" s="3">
        <v>0.55317299733959091</v>
      </c>
      <c r="M108" s="3">
        <v>6.4598980746556824</v>
      </c>
      <c r="N108" s="3">
        <v>11.683126439560278</v>
      </c>
      <c r="O108" s="3">
        <v>0.10447657366666667</v>
      </c>
      <c r="P108">
        <v>0.14625000000000002</v>
      </c>
      <c r="Q108">
        <f t="shared" si="3"/>
        <v>14.100732495837779</v>
      </c>
      <c r="R108">
        <v>0.31187500000000001</v>
      </c>
      <c r="S108">
        <f t="shared" si="4"/>
        <v>0.458125</v>
      </c>
      <c r="T108">
        <v>0.541875</v>
      </c>
      <c r="U108">
        <v>7992401211.4844284</v>
      </c>
      <c r="V108">
        <v>149370097.35773993</v>
      </c>
      <c r="W108">
        <f t="shared" si="5"/>
        <v>1.8689013902743933E-2</v>
      </c>
      <c r="X108">
        <v>0.31337608294794195</v>
      </c>
      <c r="Y108">
        <v>0.25145027478255194</v>
      </c>
      <c r="Z108">
        <v>0.45285291789002369</v>
      </c>
      <c r="AA108">
        <v>0.41435543800134295</v>
      </c>
      <c r="AB108">
        <v>0.41958575326236969</v>
      </c>
      <c r="AC108" t="s">
        <v>241</v>
      </c>
    </row>
    <row r="109" spans="1:29" x14ac:dyDescent="0.35">
      <c r="A109" t="s">
        <v>184</v>
      </c>
      <c r="B109" t="s">
        <v>57</v>
      </c>
      <c r="C109" s="5" t="s">
        <v>247</v>
      </c>
      <c r="D109">
        <v>311324</v>
      </c>
      <c r="E109">
        <v>6124637</v>
      </c>
      <c r="F109">
        <v>2</v>
      </c>
      <c r="G109" t="s">
        <v>225</v>
      </c>
      <c r="H109" t="s">
        <v>96</v>
      </c>
      <c r="I109" t="s">
        <v>106</v>
      </c>
      <c r="J109" s="3">
        <v>6.12</v>
      </c>
      <c r="K109" s="3">
        <v>1.6366103224724906</v>
      </c>
      <c r="L109" s="3">
        <v>0.27306883622086603</v>
      </c>
      <c r="M109" s="3">
        <v>2.8622907317243782</v>
      </c>
      <c r="N109" s="3">
        <v>10.48131774770877</v>
      </c>
      <c r="O109" s="3">
        <v>0.12894282333333332</v>
      </c>
      <c r="P109">
        <v>0.18375000000000002</v>
      </c>
      <c r="Q109">
        <f t="shared" si="3"/>
        <v>5.2041649667715966</v>
      </c>
      <c r="R109">
        <v>0.36625000000000002</v>
      </c>
      <c r="S109">
        <f t="shared" si="4"/>
        <v>0.55000000000000004</v>
      </c>
      <c r="T109">
        <v>0.44999999999999996</v>
      </c>
      <c r="U109">
        <v>12561735218.729074</v>
      </c>
      <c r="V109">
        <v>126786320.09469682</v>
      </c>
      <c r="W109">
        <f t="shared" si="5"/>
        <v>1.0093057836919153E-2</v>
      </c>
      <c r="X109">
        <v>0.31337608294794195</v>
      </c>
      <c r="Y109">
        <v>0.25145027478255194</v>
      </c>
      <c r="Z109">
        <v>0.45285291789002369</v>
      </c>
      <c r="AA109">
        <v>0.41435543800134295</v>
      </c>
      <c r="AB109">
        <v>0.41958575326236969</v>
      </c>
      <c r="AC109" t="s">
        <v>241</v>
      </c>
    </row>
    <row r="110" spans="1:29" x14ac:dyDescent="0.35">
      <c r="A110" t="s">
        <v>185</v>
      </c>
      <c r="B110" t="s">
        <v>60</v>
      </c>
      <c r="C110" s="5" t="s">
        <v>248</v>
      </c>
      <c r="D110">
        <v>323050</v>
      </c>
      <c r="E110">
        <v>6124499</v>
      </c>
      <c r="F110">
        <v>2</v>
      </c>
      <c r="G110" t="s">
        <v>225</v>
      </c>
      <c r="H110" t="s">
        <v>96</v>
      </c>
      <c r="I110" t="s">
        <v>107</v>
      </c>
      <c r="J110" s="3">
        <v>6.3</v>
      </c>
      <c r="K110" s="3">
        <v>2.8523955821821816</v>
      </c>
      <c r="L110" s="3">
        <v>0.32700951228630798</v>
      </c>
      <c r="M110" s="3">
        <v>4.1100458725877829</v>
      </c>
      <c r="N110" s="3">
        <v>12.563343272432425</v>
      </c>
      <c r="O110" s="3">
        <v>9.430051099999999E-2</v>
      </c>
      <c r="P110">
        <v>0.18375000000000002</v>
      </c>
      <c r="Q110">
        <f t="shared" si="3"/>
        <v>7.2027090866817671</v>
      </c>
      <c r="R110">
        <v>0.38687499999999986</v>
      </c>
      <c r="S110">
        <f t="shared" si="4"/>
        <v>0.57062499999999994</v>
      </c>
      <c r="T110">
        <v>0.42937500000000006</v>
      </c>
      <c r="U110">
        <v>11927907167.510267</v>
      </c>
      <c r="V110">
        <v>122697056.29720128</v>
      </c>
      <c r="W110">
        <f t="shared" si="5"/>
        <v>1.0286553590172855E-2</v>
      </c>
      <c r="X110">
        <v>0.38477299041896618</v>
      </c>
      <c r="Y110">
        <v>0.60726670652862591</v>
      </c>
      <c r="Z110">
        <v>0.66616978671903515</v>
      </c>
      <c r="AA110">
        <v>0.80027370739079839</v>
      </c>
      <c r="AB110">
        <v>0.85934985775928396</v>
      </c>
      <c r="AC110" t="s">
        <v>241</v>
      </c>
    </row>
    <row r="111" spans="1:29" x14ac:dyDescent="0.35">
      <c r="A111" t="s">
        <v>186</v>
      </c>
      <c r="B111" t="s">
        <v>59</v>
      </c>
      <c r="C111" s="5" t="s">
        <v>248</v>
      </c>
      <c r="D111">
        <v>323050</v>
      </c>
      <c r="E111">
        <v>6124499</v>
      </c>
      <c r="F111">
        <v>2</v>
      </c>
      <c r="G111" t="s">
        <v>225</v>
      </c>
      <c r="H111" t="s">
        <v>96</v>
      </c>
      <c r="I111" t="s">
        <v>108</v>
      </c>
      <c r="J111" s="3">
        <v>6.65</v>
      </c>
      <c r="K111" s="3">
        <v>2.2702610931494651</v>
      </c>
      <c r="L111" s="3">
        <v>0.26005651269584951</v>
      </c>
      <c r="M111" s="3">
        <v>3.0164446108619938</v>
      </c>
      <c r="N111" s="3">
        <v>11.563724894405292</v>
      </c>
      <c r="O111" s="3">
        <v>8.6231197666666662E-2</v>
      </c>
      <c r="P111">
        <v>0.17937500000000001</v>
      </c>
      <c r="Q111">
        <f t="shared" si="3"/>
        <v>5.8429919822992602</v>
      </c>
      <c r="R111">
        <v>0.33687500000000009</v>
      </c>
      <c r="S111">
        <f t="shared" si="4"/>
        <v>0.5162500000000001</v>
      </c>
      <c r="T111">
        <v>0.4837499999999999</v>
      </c>
      <c r="U111">
        <v>6105950476.7436047</v>
      </c>
      <c r="V111">
        <v>28577410.901067927</v>
      </c>
      <c r="W111">
        <f t="shared" si="5"/>
        <v>4.6802559257422428E-3</v>
      </c>
      <c r="X111">
        <v>0.38477299041896618</v>
      </c>
      <c r="Y111">
        <v>0.60726670652862591</v>
      </c>
      <c r="Z111">
        <v>0.66616978671903515</v>
      </c>
      <c r="AA111">
        <v>0.80027370739079839</v>
      </c>
      <c r="AB111">
        <v>0.85934985775928396</v>
      </c>
      <c r="AC111" t="s">
        <v>241</v>
      </c>
    </row>
    <row r="112" spans="1:29" x14ac:dyDescent="0.35">
      <c r="A112" t="s">
        <v>187</v>
      </c>
      <c r="B112" t="s">
        <v>98</v>
      </c>
      <c r="C112" s="5" t="s">
        <v>262</v>
      </c>
      <c r="D112">
        <v>323150</v>
      </c>
      <c r="E112">
        <v>6124539</v>
      </c>
      <c r="F112">
        <v>2</v>
      </c>
      <c r="G112" t="s">
        <v>43</v>
      </c>
      <c r="H112" t="s">
        <v>96</v>
      </c>
      <c r="I112" t="s">
        <v>43</v>
      </c>
      <c r="J112">
        <v>6.48</v>
      </c>
      <c r="K112">
        <v>2.4092054870555693</v>
      </c>
      <c r="L112">
        <v>0.34027456303101683</v>
      </c>
      <c r="M112">
        <v>4.0351768674327291</v>
      </c>
      <c r="N112">
        <v>11.850456835911913</v>
      </c>
      <c r="O112">
        <v>8.5350443333333345E-2</v>
      </c>
      <c r="P112">
        <v>0.17624999999999999</v>
      </c>
      <c r="Q112">
        <f t="shared" si="3"/>
        <v>11.529076764093512</v>
      </c>
      <c r="R112">
        <v>0.17374999999999999</v>
      </c>
      <c r="S112">
        <f t="shared" si="4"/>
        <v>0.35</v>
      </c>
      <c r="T112">
        <v>0.65</v>
      </c>
      <c r="U112">
        <v>5050180117.2684603</v>
      </c>
      <c r="V112">
        <v>141427297.18630251</v>
      </c>
      <c r="W112">
        <f t="shared" si="5"/>
        <v>2.8004406556255197E-2</v>
      </c>
      <c r="X112">
        <v>0.84937810029282701</v>
      </c>
      <c r="Y112">
        <v>0.77656516710156298</v>
      </c>
      <c r="Z112">
        <v>0.73903606228102603</v>
      </c>
      <c r="AA112">
        <v>0.82561945038806894</v>
      </c>
      <c r="AB112">
        <v>0.86005905218570144</v>
      </c>
      <c r="AC112" t="s">
        <v>217</v>
      </c>
    </row>
    <row r="113" spans="1:29" x14ac:dyDescent="0.35">
      <c r="A113" t="s">
        <v>188</v>
      </c>
      <c r="B113" t="s">
        <v>61</v>
      </c>
      <c r="C113" s="5" t="s">
        <v>262</v>
      </c>
      <c r="D113">
        <v>323150</v>
      </c>
      <c r="E113">
        <v>6124539</v>
      </c>
      <c r="F113" s="1">
        <v>2</v>
      </c>
      <c r="G113" t="s">
        <v>43</v>
      </c>
      <c r="H113" t="s">
        <v>96</v>
      </c>
      <c r="I113" t="s">
        <v>43</v>
      </c>
      <c r="J113">
        <v>6.77</v>
      </c>
      <c r="K113">
        <v>2.2875712295738895</v>
      </c>
      <c r="L113">
        <v>0.18926891390650832</v>
      </c>
      <c r="M113">
        <v>2.8695643983738588</v>
      </c>
      <c r="N113">
        <v>15.106285330410548</v>
      </c>
      <c r="O113">
        <v>4.9992548333333331E-2</v>
      </c>
      <c r="P113">
        <v>0.15125000000000002</v>
      </c>
      <c r="Q113">
        <f t="shared" si="3"/>
        <v>8.1987554239253093</v>
      </c>
      <c r="R113">
        <v>0.19875000000000001</v>
      </c>
      <c r="S113">
        <f t="shared" si="4"/>
        <v>0.35000000000000003</v>
      </c>
      <c r="T113">
        <v>0.65</v>
      </c>
      <c r="U113">
        <v>10717523780.094231</v>
      </c>
      <c r="V113">
        <v>114909950.22732493</v>
      </c>
      <c r="W113">
        <f t="shared" si="5"/>
        <v>1.0721688384843931E-2</v>
      </c>
      <c r="X113">
        <v>0.84937810029282701</v>
      </c>
      <c r="Y113">
        <v>0.77656516710156298</v>
      </c>
      <c r="Z113">
        <v>0.73903606228102603</v>
      </c>
      <c r="AA113">
        <v>0.82561945038806894</v>
      </c>
      <c r="AB113">
        <v>0.86005905218570144</v>
      </c>
      <c r="AC113" t="s">
        <v>217</v>
      </c>
    </row>
    <row r="114" spans="1:29" x14ac:dyDescent="0.35">
      <c r="A114" t="s">
        <v>189</v>
      </c>
      <c r="B114" t="s">
        <v>63</v>
      </c>
      <c r="C114" s="5" t="s">
        <v>249</v>
      </c>
      <c r="D114">
        <v>303660</v>
      </c>
      <c r="E114">
        <v>6110061</v>
      </c>
      <c r="F114">
        <v>3</v>
      </c>
      <c r="G114" t="s">
        <v>225</v>
      </c>
      <c r="H114" t="s">
        <v>96</v>
      </c>
      <c r="I114" t="s">
        <v>103</v>
      </c>
      <c r="J114" s="3">
        <v>6.61</v>
      </c>
      <c r="K114" s="3">
        <v>2.2442241904186129</v>
      </c>
      <c r="L114" s="3">
        <v>0.31919510063464895</v>
      </c>
      <c r="M114" s="3">
        <v>3.436826824715757</v>
      </c>
      <c r="N114" s="3">
        <v>10.768204446267703</v>
      </c>
      <c r="O114" s="3">
        <v>6.9814243999999984E-2</v>
      </c>
      <c r="P114">
        <v>0.20437500000000003</v>
      </c>
      <c r="Q114">
        <f t="shared" si="3"/>
        <v>6.3497955191053244</v>
      </c>
      <c r="R114">
        <v>0.33687499999999998</v>
      </c>
      <c r="S114">
        <f t="shared" si="4"/>
        <v>0.54125000000000001</v>
      </c>
      <c r="T114">
        <v>0.45874999999999999</v>
      </c>
      <c r="U114">
        <v>7131968741.7266798</v>
      </c>
      <c r="V114">
        <v>136865815.11213526</v>
      </c>
      <c r="W114">
        <f t="shared" si="5"/>
        <v>1.9190467606984979E-2</v>
      </c>
      <c r="X114">
        <v>9.6989022320201013E-2</v>
      </c>
      <c r="Y114">
        <v>0.16028517746392404</v>
      </c>
      <c r="Z114">
        <v>0.2488404443862938</v>
      </c>
      <c r="AA114">
        <v>0.22014852855277478</v>
      </c>
      <c r="AB114">
        <v>0.37737261660747473</v>
      </c>
      <c r="AC114" t="s">
        <v>240</v>
      </c>
    </row>
    <row r="115" spans="1:29" x14ac:dyDescent="0.35">
      <c r="A115" t="s">
        <v>190</v>
      </c>
      <c r="B115" t="s">
        <v>62</v>
      </c>
      <c r="C115" s="5" t="s">
        <v>249</v>
      </c>
      <c r="D115">
        <v>303660</v>
      </c>
      <c r="E115">
        <v>6110061</v>
      </c>
      <c r="F115">
        <v>3</v>
      </c>
      <c r="G115" t="s">
        <v>225</v>
      </c>
      <c r="H115" t="s">
        <v>96</v>
      </c>
      <c r="I115" t="s">
        <v>104</v>
      </c>
      <c r="J115" s="3">
        <v>6.51</v>
      </c>
      <c r="K115" s="3">
        <v>1.8667083413541263</v>
      </c>
      <c r="L115" s="3">
        <v>0.23109045220705215</v>
      </c>
      <c r="M115" s="3">
        <v>2.6224352796708836</v>
      </c>
      <c r="N115" s="3">
        <v>11.356751717632008</v>
      </c>
      <c r="O115" s="3">
        <v>8.1172587666666671E-2</v>
      </c>
      <c r="P115">
        <v>0.20875000000000005</v>
      </c>
      <c r="Q115">
        <f t="shared" si="3"/>
        <v>5.6701303344235319</v>
      </c>
      <c r="R115">
        <v>0.25374999999999998</v>
      </c>
      <c r="S115">
        <f t="shared" si="4"/>
        <v>0.46250000000000002</v>
      </c>
      <c r="T115">
        <v>0.53749999999999998</v>
      </c>
      <c r="U115">
        <v>4632668525.6612606</v>
      </c>
      <c r="V115">
        <v>42974420.922492653</v>
      </c>
      <c r="W115">
        <f t="shared" si="5"/>
        <v>9.2763858852514258E-3</v>
      </c>
      <c r="X115">
        <v>9.6989022320201013E-2</v>
      </c>
      <c r="Y115">
        <v>0.16028517746392404</v>
      </c>
      <c r="Z115">
        <v>0.2488404443862938</v>
      </c>
      <c r="AA115">
        <v>0.22014852855277478</v>
      </c>
      <c r="AB115">
        <v>0.37737261660747473</v>
      </c>
      <c r="AC115" t="s">
        <v>240</v>
      </c>
    </row>
    <row r="116" spans="1:29" x14ac:dyDescent="0.35">
      <c r="A116" t="s">
        <v>141</v>
      </c>
      <c r="B116" t="s">
        <v>65</v>
      </c>
      <c r="C116" s="5" t="s">
        <v>250</v>
      </c>
      <c r="D116">
        <v>305744</v>
      </c>
      <c r="E116">
        <v>6115148</v>
      </c>
      <c r="F116">
        <v>3</v>
      </c>
      <c r="G116" t="s">
        <v>225</v>
      </c>
      <c r="H116" t="s">
        <v>96</v>
      </c>
      <c r="I116" t="s">
        <v>105</v>
      </c>
      <c r="J116" s="3">
        <v>5.81</v>
      </c>
      <c r="K116" s="3">
        <v>2.9832025249304182</v>
      </c>
      <c r="L116" s="3">
        <v>0.51925419657979643</v>
      </c>
      <c r="M116" s="3">
        <v>5.598735687905438</v>
      </c>
      <c r="N116" s="3">
        <v>10.795996055015218</v>
      </c>
      <c r="O116" s="3">
        <v>0.10506314793333334</v>
      </c>
      <c r="P116">
        <v>0.12125000000000002</v>
      </c>
      <c r="Q116">
        <f t="shared" si="3"/>
        <v>13.173495736248087</v>
      </c>
      <c r="R116">
        <v>0.30375000000000002</v>
      </c>
      <c r="S116">
        <f t="shared" si="4"/>
        <v>0.42500000000000004</v>
      </c>
      <c r="T116">
        <v>0.57499999999999996</v>
      </c>
      <c r="U116">
        <v>5263749041.319335</v>
      </c>
      <c r="V116">
        <v>63922110.09188053</v>
      </c>
      <c r="W116">
        <f t="shared" si="5"/>
        <v>1.2143836947792393E-2</v>
      </c>
      <c r="X116">
        <v>0.1724284653457594</v>
      </c>
      <c r="Y116">
        <v>0.22758520751664488</v>
      </c>
      <c r="Z116">
        <v>0.27100817002074939</v>
      </c>
      <c r="AA116">
        <v>0.36648449590827648</v>
      </c>
      <c r="AB116">
        <v>0.33946333519127536</v>
      </c>
      <c r="AC116" t="s">
        <v>240</v>
      </c>
    </row>
    <row r="117" spans="1:29" x14ac:dyDescent="0.35">
      <c r="A117" t="s">
        <v>191</v>
      </c>
      <c r="B117" t="s">
        <v>64</v>
      </c>
      <c r="C117" s="5" t="s">
        <v>250</v>
      </c>
      <c r="D117">
        <v>305744</v>
      </c>
      <c r="E117">
        <v>6115148</v>
      </c>
      <c r="F117">
        <v>3</v>
      </c>
      <c r="G117" t="s">
        <v>225</v>
      </c>
      <c r="H117" t="s">
        <v>96</v>
      </c>
      <c r="I117" t="s">
        <v>106</v>
      </c>
      <c r="J117" s="3">
        <v>6.37</v>
      </c>
      <c r="K117" s="3">
        <v>2.7320185874481644</v>
      </c>
      <c r="L117" s="3">
        <v>0.50175676601457786</v>
      </c>
      <c r="M117" s="3">
        <v>5.441484168515335</v>
      </c>
      <c r="N117" s="3">
        <v>10.837440774580841</v>
      </c>
      <c r="O117" s="3">
        <v>0.127636791</v>
      </c>
      <c r="P117">
        <v>0.141875</v>
      </c>
      <c r="Q117">
        <f t="shared" si="3"/>
        <v>13.072634639075876</v>
      </c>
      <c r="R117">
        <v>0.27437500000000009</v>
      </c>
      <c r="S117">
        <f t="shared" si="4"/>
        <v>0.41625000000000012</v>
      </c>
      <c r="T117">
        <v>0.58374999999999988</v>
      </c>
      <c r="U117">
        <v>8047765778.6068039</v>
      </c>
      <c r="V117">
        <v>27857919.703330506</v>
      </c>
      <c r="W117">
        <f t="shared" si="5"/>
        <v>3.4615718784192988E-3</v>
      </c>
      <c r="X117">
        <v>0.1724284653457594</v>
      </c>
      <c r="Y117">
        <v>0.22758520751664488</v>
      </c>
      <c r="Z117">
        <v>0.27100817002074939</v>
      </c>
      <c r="AA117">
        <v>0.36648449590827648</v>
      </c>
      <c r="AB117">
        <v>0.33946333519127536</v>
      </c>
      <c r="AC117" t="s">
        <v>240</v>
      </c>
    </row>
    <row r="118" spans="1:29" x14ac:dyDescent="0.35">
      <c r="A118" t="s">
        <v>192</v>
      </c>
      <c r="B118" t="s">
        <v>67</v>
      </c>
      <c r="C118" s="5" t="s">
        <v>251</v>
      </c>
      <c r="D118">
        <v>313940.99999999988</v>
      </c>
      <c r="E118">
        <v>6115867.0999999996</v>
      </c>
      <c r="F118">
        <v>3</v>
      </c>
      <c r="G118" t="s">
        <v>225</v>
      </c>
      <c r="H118" t="s">
        <v>96</v>
      </c>
      <c r="I118" t="s">
        <v>107</v>
      </c>
      <c r="J118" s="3">
        <v>6.3</v>
      </c>
      <c r="K118" s="3">
        <v>1.8620486451974232</v>
      </c>
      <c r="L118" s="3">
        <v>0.21520864373190651</v>
      </c>
      <c r="M118" s="3">
        <v>3.0365164690761355</v>
      </c>
      <c r="N118" s="3">
        <v>14.094349485997204</v>
      </c>
      <c r="O118" s="3">
        <v>4.7456046666666668E-2</v>
      </c>
      <c r="P118">
        <v>0.17937500000000001</v>
      </c>
      <c r="Q118">
        <f t="shared" si="3"/>
        <v>7.7610644577025809</v>
      </c>
      <c r="R118">
        <v>0.21187500000000006</v>
      </c>
      <c r="S118">
        <f t="shared" si="4"/>
        <v>0.3912500000000001</v>
      </c>
      <c r="T118">
        <v>0.6087499999999999</v>
      </c>
      <c r="U118">
        <v>6587670088.3155298</v>
      </c>
      <c r="V118">
        <v>61188071.406702682</v>
      </c>
      <c r="W118">
        <f t="shared" si="5"/>
        <v>9.288271966629175E-3</v>
      </c>
      <c r="X118">
        <v>0.17112339481240588</v>
      </c>
      <c r="Y118">
        <v>0.31212472784450168</v>
      </c>
      <c r="Z118">
        <v>0.60044391109857309</v>
      </c>
      <c r="AA118">
        <v>0.72197202186867537</v>
      </c>
      <c r="AB118">
        <v>0.80708938413855669</v>
      </c>
      <c r="AC118" t="s">
        <v>241</v>
      </c>
    </row>
    <row r="119" spans="1:29" x14ac:dyDescent="0.35">
      <c r="A119" t="s">
        <v>140</v>
      </c>
      <c r="B119" t="s">
        <v>66</v>
      </c>
      <c r="C119" s="5" t="s">
        <v>251</v>
      </c>
      <c r="D119">
        <v>313940.99999999988</v>
      </c>
      <c r="E119">
        <v>6115867.0999999996</v>
      </c>
      <c r="F119">
        <v>3</v>
      </c>
      <c r="G119" t="s">
        <v>225</v>
      </c>
      <c r="H119" t="s">
        <v>96</v>
      </c>
      <c r="I119" t="s">
        <v>108</v>
      </c>
      <c r="J119" s="3">
        <v>6.22</v>
      </c>
      <c r="K119" s="3">
        <v>1.3690551842421117</v>
      </c>
      <c r="L119" s="3">
        <v>0.14528916819165841</v>
      </c>
      <c r="M119" s="3">
        <v>1.7827510650299931</v>
      </c>
      <c r="N119" s="3">
        <v>12.283372876249279</v>
      </c>
      <c r="O119" s="3">
        <v>4.7597579333333334E-2</v>
      </c>
      <c r="P119">
        <v>0.22125000000000003</v>
      </c>
      <c r="Q119">
        <f t="shared" si="3"/>
        <v>2.9712517750499887</v>
      </c>
      <c r="R119">
        <v>0.37874999999999998</v>
      </c>
      <c r="S119">
        <f t="shared" si="4"/>
        <v>0.6</v>
      </c>
      <c r="T119">
        <v>0.4</v>
      </c>
      <c r="U119">
        <v>6842599533.8525028</v>
      </c>
      <c r="V119">
        <v>11083975.515406473</v>
      </c>
      <c r="W119">
        <f t="shared" si="5"/>
        <v>1.6198486350940957E-3</v>
      </c>
      <c r="X119">
        <v>0.17112339481240588</v>
      </c>
      <c r="Y119">
        <v>0.31212472784450168</v>
      </c>
      <c r="Z119">
        <v>0.60044391109857309</v>
      </c>
      <c r="AA119">
        <v>0.72197202186867537</v>
      </c>
      <c r="AB119">
        <v>0.80708938413855669</v>
      </c>
      <c r="AC119" t="s">
        <v>241</v>
      </c>
    </row>
    <row r="120" spans="1:29" x14ac:dyDescent="0.35">
      <c r="A120" t="s">
        <v>193</v>
      </c>
      <c r="B120" t="s">
        <v>68</v>
      </c>
      <c r="C120" s="5" t="s">
        <v>263</v>
      </c>
      <c r="D120">
        <v>314062</v>
      </c>
      <c r="E120">
        <v>6115765.0000000009</v>
      </c>
      <c r="F120">
        <v>3</v>
      </c>
      <c r="G120" t="s">
        <v>43</v>
      </c>
      <c r="H120" t="s">
        <v>96</v>
      </c>
      <c r="I120" t="s">
        <v>43</v>
      </c>
      <c r="J120">
        <v>6.13</v>
      </c>
      <c r="K120">
        <v>3.561967930973001</v>
      </c>
      <c r="L120">
        <v>0.32738027957136273</v>
      </c>
      <c r="M120">
        <v>5.1997621012815145</v>
      </c>
      <c r="N120">
        <v>15.819101080622623</v>
      </c>
      <c r="O120">
        <v>7.0972389333333344E-2</v>
      </c>
      <c r="P120">
        <v>0.17125000000000001</v>
      </c>
      <c r="Q120">
        <f t="shared" si="3"/>
        <v>13.290126776438372</v>
      </c>
      <c r="R120">
        <v>0.22000000000000008</v>
      </c>
      <c r="S120">
        <f t="shared" si="4"/>
        <v>0.3912500000000001</v>
      </c>
      <c r="T120">
        <v>0.6087499999999999</v>
      </c>
      <c r="U120">
        <v>12605168647.109966</v>
      </c>
      <c r="V120">
        <v>253313156.87910694</v>
      </c>
      <c r="W120">
        <f t="shared" si="5"/>
        <v>2.0095975228160472E-2</v>
      </c>
      <c r="X120">
        <v>0.84940993128144537</v>
      </c>
      <c r="Y120">
        <v>0.61241028361890704</v>
      </c>
      <c r="Z120">
        <v>0.64829080678959772</v>
      </c>
      <c r="AA120">
        <v>0.73396339190099114</v>
      </c>
      <c r="AB120">
        <v>0.80703213928862538</v>
      </c>
      <c r="AC120" t="s">
        <v>217</v>
      </c>
    </row>
    <row r="121" spans="1:29" x14ac:dyDescent="0.35">
      <c r="A121" t="s">
        <v>194</v>
      </c>
      <c r="B121" t="s">
        <v>69</v>
      </c>
      <c r="C121" s="5" t="s">
        <v>263</v>
      </c>
      <c r="D121">
        <v>314062</v>
      </c>
      <c r="E121">
        <v>6115765.0000000009</v>
      </c>
      <c r="F121" s="1">
        <v>3</v>
      </c>
      <c r="G121" t="s">
        <v>43</v>
      </c>
      <c r="H121" t="s">
        <v>96</v>
      </c>
      <c r="I121" t="s">
        <v>43</v>
      </c>
      <c r="J121">
        <v>5.9</v>
      </c>
      <c r="K121">
        <v>5.0097831208932737</v>
      </c>
      <c r="L121">
        <v>0.53677622227659716</v>
      </c>
      <c r="M121">
        <v>8.3164434398215494</v>
      </c>
      <c r="N121">
        <v>15.372680554238011</v>
      </c>
      <c r="O121">
        <v>5.4474823666666665E-2</v>
      </c>
      <c r="P121">
        <v>0.22625000000000001</v>
      </c>
      <c r="Q121">
        <f t="shared" si="3"/>
        <v>15.001476328877656</v>
      </c>
      <c r="R121">
        <v>0.32812499999999994</v>
      </c>
      <c r="S121">
        <f t="shared" si="4"/>
        <v>0.55437499999999995</v>
      </c>
      <c r="T121">
        <v>0.44562500000000005</v>
      </c>
      <c r="U121">
        <v>1578102577.9882517</v>
      </c>
      <c r="V121">
        <v>421834105.44327325</v>
      </c>
      <c r="W121">
        <f t="shared" si="5"/>
        <v>0.2673046171567775</v>
      </c>
      <c r="X121">
        <v>0.84940993128144537</v>
      </c>
      <c r="Y121">
        <v>0.61241028361890704</v>
      </c>
      <c r="Z121">
        <v>0.64829080678959772</v>
      </c>
      <c r="AA121">
        <v>0.73396339190099114</v>
      </c>
      <c r="AB121">
        <v>0.80703213928862538</v>
      </c>
      <c r="AC121" t="s">
        <v>217</v>
      </c>
    </row>
    <row r="122" spans="1:29" x14ac:dyDescent="0.35">
      <c r="A122" t="s">
        <v>195</v>
      </c>
      <c r="B122" t="s">
        <v>71</v>
      </c>
      <c r="C122" s="5" t="s">
        <v>252</v>
      </c>
      <c r="D122">
        <v>345670</v>
      </c>
      <c r="E122">
        <v>6227606</v>
      </c>
      <c r="F122">
        <v>4</v>
      </c>
      <c r="G122" t="s">
        <v>225</v>
      </c>
      <c r="H122" t="s">
        <v>96</v>
      </c>
      <c r="I122" t="s">
        <v>103</v>
      </c>
      <c r="J122">
        <v>6.21</v>
      </c>
      <c r="K122">
        <v>1.4845797968614438</v>
      </c>
      <c r="L122">
        <v>0.30300457270159648</v>
      </c>
      <c r="M122">
        <v>3.3498270517155215</v>
      </c>
      <c r="N122">
        <v>11.039770188651005</v>
      </c>
      <c r="O122">
        <v>0.12777622666666666</v>
      </c>
      <c r="P122">
        <v>0.166875</v>
      </c>
      <c r="Q122">
        <f t="shared" si="3"/>
        <v>9.14628546543487</v>
      </c>
      <c r="R122">
        <v>0.19937500000000008</v>
      </c>
      <c r="S122">
        <f t="shared" si="4"/>
        <v>0.36625000000000008</v>
      </c>
      <c r="T122">
        <v>0.63374999999999992</v>
      </c>
      <c r="U122">
        <v>5392477662.2910013</v>
      </c>
      <c r="V122">
        <v>15955057.503188714</v>
      </c>
      <c r="W122">
        <f t="shared" si="5"/>
        <v>2.9587619091611013E-3</v>
      </c>
      <c r="X122">
        <v>0.9071513446351851</v>
      </c>
      <c r="Y122">
        <v>0.41474836481780647</v>
      </c>
      <c r="Z122">
        <v>0.27627053654083572</v>
      </c>
      <c r="AA122">
        <v>0.22014152573527873</v>
      </c>
      <c r="AB122">
        <v>0.28277351584232335</v>
      </c>
      <c r="AC122" t="s">
        <v>240</v>
      </c>
    </row>
    <row r="123" spans="1:29" x14ac:dyDescent="0.35">
      <c r="A123" t="s">
        <v>196</v>
      </c>
      <c r="B123" t="s">
        <v>70</v>
      </c>
      <c r="C123" s="5" t="s">
        <v>252</v>
      </c>
      <c r="D123">
        <v>345670</v>
      </c>
      <c r="E123">
        <v>6227606</v>
      </c>
      <c r="F123">
        <v>4</v>
      </c>
      <c r="G123" t="s">
        <v>225</v>
      </c>
      <c r="H123" t="s">
        <v>96</v>
      </c>
      <c r="I123" t="s">
        <v>104</v>
      </c>
      <c r="J123">
        <v>5.95</v>
      </c>
      <c r="K123">
        <v>1.3230279700260121</v>
      </c>
      <c r="L123">
        <v>0.22628812531581474</v>
      </c>
      <c r="M123">
        <v>2.4539477896843587</v>
      </c>
      <c r="N123">
        <v>10.864522446540699</v>
      </c>
      <c r="O123">
        <v>0.11758512</v>
      </c>
      <c r="P123">
        <v>0.20437500000000003</v>
      </c>
      <c r="Q123">
        <f t="shared" si="3"/>
        <v>4.9953135667874982</v>
      </c>
      <c r="R123">
        <v>0.28687500000000005</v>
      </c>
      <c r="S123">
        <f t="shared" si="4"/>
        <v>0.49125000000000008</v>
      </c>
      <c r="T123">
        <v>0.50874999999999992</v>
      </c>
      <c r="U123">
        <v>7459277503.8572006</v>
      </c>
      <c r="V123">
        <v>289863004.32730651</v>
      </c>
      <c r="W123">
        <f t="shared" si="5"/>
        <v>3.8859394113896155E-2</v>
      </c>
      <c r="X123">
        <v>0.9071513446351851</v>
      </c>
      <c r="Y123">
        <v>0.41474836481780647</v>
      </c>
      <c r="Z123">
        <v>0.27627053654083572</v>
      </c>
      <c r="AA123">
        <v>0.22014152573527873</v>
      </c>
      <c r="AB123">
        <v>0.28277351584232335</v>
      </c>
      <c r="AC123" t="s">
        <v>240</v>
      </c>
    </row>
    <row r="124" spans="1:29" x14ac:dyDescent="0.35">
      <c r="A124" t="s">
        <v>197</v>
      </c>
      <c r="B124" t="s">
        <v>73</v>
      </c>
      <c r="C124" s="5" t="s">
        <v>253</v>
      </c>
      <c r="D124">
        <v>347526</v>
      </c>
      <c r="E124">
        <v>6228850</v>
      </c>
      <c r="F124">
        <v>4</v>
      </c>
      <c r="G124" t="s">
        <v>225</v>
      </c>
      <c r="H124" t="s">
        <v>96</v>
      </c>
      <c r="I124" t="s">
        <v>105</v>
      </c>
      <c r="J124">
        <v>6.47</v>
      </c>
      <c r="K124">
        <v>1.5334777627115803</v>
      </c>
      <c r="L124">
        <v>0.27238051606773328</v>
      </c>
      <c r="M124">
        <v>3.0882867132503748</v>
      </c>
      <c r="N124">
        <v>11.335809908938822</v>
      </c>
      <c r="O124">
        <v>0.10452771100000001</v>
      </c>
      <c r="P124">
        <v>0.25437500000000002</v>
      </c>
      <c r="Q124">
        <f t="shared" si="3"/>
        <v>5.3361325498926551</v>
      </c>
      <c r="R124">
        <v>0.32437500000000008</v>
      </c>
      <c r="S124">
        <f t="shared" si="4"/>
        <v>0.5787500000000001</v>
      </c>
      <c r="T124">
        <v>0.4212499999999999</v>
      </c>
      <c r="U124">
        <v>10754580667.014534</v>
      </c>
      <c r="V124">
        <v>479719.40212136752</v>
      </c>
      <c r="W124">
        <f t="shared" si="5"/>
        <v>4.4606053641191145E-5</v>
      </c>
      <c r="X124">
        <v>0.30971551925682833</v>
      </c>
      <c r="Y124">
        <v>0.36179217273800313</v>
      </c>
      <c r="Z124">
        <v>0.30406729112651232</v>
      </c>
      <c r="AA124">
        <v>0.37072247373292749</v>
      </c>
      <c r="AB124">
        <v>0.403505603615255</v>
      </c>
      <c r="AC124" t="s">
        <v>240</v>
      </c>
    </row>
    <row r="125" spans="1:29" x14ac:dyDescent="0.35">
      <c r="A125" t="s">
        <v>198</v>
      </c>
      <c r="B125" t="s">
        <v>72</v>
      </c>
      <c r="C125" s="5" t="s">
        <v>253</v>
      </c>
      <c r="D125">
        <v>347526</v>
      </c>
      <c r="E125">
        <v>6228850</v>
      </c>
      <c r="F125">
        <v>4</v>
      </c>
      <c r="G125" t="s">
        <v>225</v>
      </c>
      <c r="H125" t="s">
        <v>96</v>
      </c>
      <c r="I125" t="s">
        <v>106</v>
      </c>
      <c r="J125">
        <v>5.6</v>
      </c>
      <c r="K125">
        <v>0.99429456011917638</v>
      </c>
      <c r="L125">
        <v>0.16655054576885264</v>
      </c>
      <c r="M125">
        <v>1.9544104454377251</v>
      </c>
      <c r="N125">
        <v>11.734069478239228</v>
      </c>
      <c r="O125">
        <v>8.5144894333333332E-2</v>
      </c>
      <c r="P125">
        <v>0.20875000000000005</v>
      </c>
      <c r="Q125">
        <f t="shared" si="3"/>
        <v>3.6616589141690397</v>
      </c>
      <c r="R125">
        <v>0.32500000000000001</v>
      </c>
      <c r="S125">
        <f t="shared" si="4"/>
        <v>0.53375000000000006</v>
      </c>
      <c r="T125">
        <v>0.46624999999999994</v>
      </c>
      <c r="U125">
        <v>15721222024.106928</v>
      </c>
      <c r="V125">
        <v>245142998.44970146</v>
      </c>
      <c r="W125">
        <f t="shared" si="5"/>
        <v>1.5593126162444567E-2</v>
      </c>
      <c r="X125">
        <v>0.30971551925682833</v>
      </c>
      <c r="Y125">
        <v>0.36179217273800313</v>
      </c>
      <c r="Z125">
        <v>0.30406729112651232</v>
      </c>
      <c r="AA125">
        <v>0.37072247373292749</v>
      </c>
      <c r="AB125">
        <v>0.403505603615255</v>
      </c>
      <c r="AC125" t="s">
        <v>240</v>
      </c>
    </row>
    <row r="126" spans="1:29" x14ac:dyDescent="0.35">
      <c r="A126" t="s">
        <v>199</v>
      </c>
      <c r="B126" t="s">
        <v>75</v>
      </c>
      <c r="C126" s="5" t="s">
        <v>254</v>
      </c>
      <c r="D126">
        <v>347526</v>
      </c>
      <c r="E126">
        <v>6228850</v>
      </c>
      <c r="F126">
        <v>4</v>
      </c>
      <c r="G126" t="s">
        <v>225</v>
      </c>
      <c r="H126" t="s">
        <v>96</v>
      </c>
      <c r="I126" t="s">
        <v>107</v>
      </c>
      <c r="J126">
        <v>6.16</v>
      </c>
      <c r="K126">
        <v>2.0476687599206556</v>
      </c>
      <c r="L126">
        <v>0.52521049956506938</v>
      </c>
      <c r="M126">
        <v>4.6405857120747571</v>
      </c>
      <c r="N126">
        <v>8.8453019058143081</v>
      </c>
      <c r="O126">
        <v>0.32838638466666664</v>
      </c>
      <c r="P126">
        <v>0.15875</v>
      </c>
      <c r="Q126">
        <f t="shared" si="3"/>
        <v>11.975705063418728</v>
      </c>
      <c r="R126">
        <v>0.22875000000000001</v>
      </c>
      <c r="S126">
        <f t="shared" si="4"/>
        <v>0.38750000000000001</v>
      </c>
      <c r="T126">
        <v>0.61250000000000004</v>
      </c>
      <c r="U126">
        <v>7801607507.6177654</v>
      </c>
      <c r="V126">
        <v>307259443.58997136</v>
      </c>
      <c r="W126">
        <f t="shared" si="5"/>
        <v>3.9384119656103229E-2</v>
      </c>
      <c r="X126">
        <v>0.30971551925682833</v>
      </c>
      <c r="Y126">
        <v>0.36179217273800313</v>
      </c>
      <c r="Z126">
        <v>0.30406729112651232</v>
      </c>
      <c r="AA126">
        <v>0.37072247373292749</v>
      </c>
      <c r="AB126">
        <v>0.403505603615255</v>
      </c>
      <c r="AC126" t="s">
        <v>240</v>
      </c>
    </row>
    <row r="127" spans="1:29" x14ac:dyDescent="0.35">
      <c r="A127" t="s">
        <v>200</v>
      </c>
      <c r="B127" t="s">
        <v>74</v>
      </c>
      <c r="C127" s="5" t="s">
        <v>254</v>
      </c>
      <c r="D127">
        <v>347526</v>
      </c>
      <c r="E127">
        <v>6228850</v>
      </c>
      <c r="F127">
        <v>4</v>
      </c>
      <c r="G127" t="s">
        <v>225</v>
      </c>
      <c r="H127" t="s">
        <v>96</v>
      </c>
      <c r="I127" t="s">
        <v>108</v>
      </c>
      <c r="J127">
        <v>6.15</v>
      </c>
      <c r="K127">
        <v>3.486999244497806</v>
      </c>
      <c r="L127">
        <v>0.8771664113887615</v>
      </c>
      <c r="M127">
        <v>10.962543172382746</v>
      </c>
      <c r="N127">
        <v>12.510671756622884</v>
      </c>
      <c r="O127">
        <v>0.35123210066666671</v>
      </c>
      <c r="P127">
        <v>0.19187499999999999</v>
      </c>
      <c r="Q127">
        <f t="shared" si="3"/>
        <v>23.512156938086317</v>
      </c>
      <c r="R127">
        <v>0.27437500000000009</v>
      </c>
      <c r="S127">
        <f t="shared" si="4"/>
        <v>0.46625000000000005</v>
      </c>
      <c r="T127">
        <v>0.53374999999999995</v>
      </c>
      <c r="U127">
        <v>8682681934.5202961</v>
      </c>
      <c r="V127">
        <v>257969218.54351807</v>
      </c>
      <c r="W127">
        <f t="shared" si="5"/>
        <v>2.9710776058477193E-2</v>
      </c>
      <c r="X127">
        <v>0.30971551925682833</v>
      </c>
      <c r="Y127">
        <v>0.36179217273800313</v>
      </c>
      <c r="Z127">
        <v>0.30406729112651232</v>
      </c>
      <c r="AA127">
        <v>0.37072247373292749</v>
      </c>
      <c r="AB127">
        <v>0.403505603615255</v>
      </c>
      <c r="AC127" t="s">
        <v>240</v>
      </c>
    </row>
    <row r="128" spans="1:29" x14ac:dyDescent="0.35">
      <c r="A128" t="s">
        <v>132</v>
      </c>
      <c r="B128" t="s">
        <v>76</v>
      </c>
      <c r="C128" s="5" t="s">
        <v>264</v>
      </c>
      <c r="D128">
        <v>353716</v>
      </c>
      <c r="E128">
        <v>6232513</v>
      </c>
      <c r="F128">
        <v>4</v>
      </c>
      <c r="G128" t="s">
        <v>43</v>
      </c>
      <c r="H128" t="s">
        <v>96</v>
      </c>
      <c r="I128" t="s">
        <v>43</v>
      </c>
      <c r="J128">
        <v>5.79</v>
      </c>
      <c r="K128">
        <v>2.1294772404522693</v>
      </c>
      <c r="L128">
        <v>0.23233965416253513</v>
      </c>
      <c r="M128">
        <v>4.1258038600211666</v>
      </c>
      <c r="N128">
        <v>17.748795535947032</v>
      </c>
      <c r="O128">
        <v>3.4657167666666662E-2</v>
      </c>
      <c r="P128">
        <v>0.11687500000000001</v>
      </c>
      <c r="Q128">
        <f t="shared" si="3"/>
        <v>12.090267721673747</v>
      </c>
      <c r="R128">
        <v>0.22437500000000007</v>
      </c>
      <c r="S128">
        <f t="shared" si="4"/>
        <v>0.34125000000000005</v>
      </c>
      <c r="T128">
        <v>0.65874999999999995</v>
      </c>
      <c r="U128">
        <v>14927975601.951694</v>
      </c>
      <c r="V128">
        <v>515410472.34502184</v>
      </c>
      <c r="W128">
        <f t="shared" si="5"/>
        <v>3.4526481425762562E-2</v>
      </c>
      <c r="X128">
        <v>0.76693583977122526</v>
      </c>
      <c r="Y128">
        <v>0.77889305133303488</v>
      </c>
      <c r="Z128">
        <v>0.80000487304684398</v>
      </c>
      <c r="AA128">
        <v>0.81765088069734393</v>
      </c>
      <c r="AB128">
        <v>0.84521562557317897</v>
      </c>
      <c r="AC128" t="s">
        <v>217</v>
      </c>
    </row>
    <row r="129" spans="1:29" x14ac:dyDescent="0.35">
      <c r="A129" t="s">
        <v>133</v>
      </c>
      <c r="B129" t="s">
        <v>77</v>
      </c>
      <c r="C129" s="5" t="s">
        <v>264</v>
      </c>
      <c r="D129">
        <v>353716</v>
      </c>
      <c r="E129">
        <v>6232513</v>
      </c>
      <c r="F129">
        <v>4</v>
      </c>
      <c r="G129" t="s">
        <v>43</v>
      </c>
      <c r="H129" t="s">
        <v>96</v>
      </c>
      <c r="I129" t="s">
        <v>43</v>
      </c>
      <c r="J129">
        <v>5.94</v>
      </c>
      <c r="K129">
        <v>1.9793854643220641</v>
      </c>
      <c r="L129">
        <v>5.8163561850400525</v>
      </c>
      <c r="M129">
        <v>8.618976167010203</v>
      </c>
      <c r="N129">
        <v>10.024733891916183</v>
      </c>
      <c r="O129">
        <v>3.3227413333333337E-2</v>
      </c>
      <c r="P129">
        <v>0.10875000000000001</v>
      </c>
      <c r="Q129">
        <f t="shared" si="3"/>
        <v>21.547440417525507</v>
      </c>
      <c r="R129">
        <v>0.29125000000000001</v>
      </c>
      <c r="S129">
        <f t="shared" si="4"/>
        <v>0.4</v>
      </c>
      <c r="T129">
        <v>0.6</v>
      </c>
      <c r="U129">
        <v>7937417524.6432629</v>
      </c>
      <c r="V129">
        <v>163016791.05466017</v>
      </c>
      <c r="W129">
        <f t="shared" si="5"/>
        <v>2.0537761878916247E-2</v>
      </c>
      <c r="X129">
        <v>0.76693583977122526</v>
      </c>
      <c r="Y129">
        <v>0.77889305133303488</v>
      </c>
      <c r="Z129">
        <v>0.80000487304684398</v>
      </c>
      <c r="AA129">
        <v>0.81765088069734393</v>
      </c>
      <c r="AB129">
        <v>0.84521562557317897</v>
      </c>
      <c r="AC129" t="s">
        <v>217</v>
      </c>
    </row>
    <row r="130" spans="1:29" x14ac:dyDescent="0.35">
      <c r="A130" t="s">
        <v>201</v>
      </c>
      <c r="B130" t="s">
        <v>79</v>
      </c>
      <c r="C130" s="5" t="s">
        <v>255</v>
      </c>
      <c r="D130">
        <v>322204</v>
      </c>
      <c r="E130">
        <v>6169551.9000000004</v>
      </c>
      <c r="F130">
        <v>5</v>
      </c>
      <c r="G130" t="s">
        <v>225</v>
      </c>
      <c r="H130" t="s">
        <v>96</v>
      </c>
      <c r="I130" t="s">
        <v>103</v>
      </c>
      <c r="J130">
        <v>6.4</v>
      </c>
      <c r="K130">
        <v>3.0246364473363223</v>
      </c>
      <c r="L130">
        <v>5.3243228379415308</v>
      </c>
      <c r="M130">
        <v>7.7594477311955874</v>
      </c>
      <c r="N130">
        <v>7.9985148597737297</v>
      </c>
      <c r="O130">
        <v>8.559092833333333E-2</v>
      </c>
      <c r="P130">
        <v>0.17937500000000001</v>
      </c>
      <c r="Q130">
        <f t="shared" si="3"/>
        <v>17.585150665599063</v>
      </c>
      <c r="R130">
        <v>0.26187500000000002</v>
      </c>
      <c r="S130">
        <f t="shared" si="4"/>
        <v>0.44125000000000003</v>
      </c>
      <c r="T130">
        <v>0.55874999999999997</v>
      </c>
      <c r="U130">
        <v>11603046838.049728</v>
      </c>
      <c r="V130">
        <v>152115617.53791928</v>
      </c>
      <c r="W130">
        <f t="shared" si="5"/>
        <v>1.3109971860071134E-2</v>
      </c>
      <c r="X130">
        <v>0</v>
      </c>
      <c r="Y130">
        <v>0.22319526600585063</v>
      </c>
      <c r="Z130">
        <v>0.16963024897294132</v>
      </c>
      <c r="AA130">
        <v>0.17474353314797414</v>
      </c>
      <c r="AB130">
        <v>0.24237454182034887</v>
      </c>
      <c r="AC130" t="s">
        <v>240</v>
      </c>
    </row>
    <row r="131" spans="1:29" x14ac:dyDescent="0.35">
      <c r="A131" t="s">
        <v>202</v>
      </c>
      <c r="B131" t="s">
        <v>78</v>
      </c>
      <c r="C131" s="5" t="s">
        <v>255</v>
      </c>
      <c r="D131">
        <v>322204</v>
      </c>
      <c r="E131">
        <v>6169551.9000000004</v>
      </c>
      <c r="F131">
        <v>5</v>
      </c>
      <c r="G131" t="s">
        <v>225</v>
      </c>
      <c r="H131" t="s">
        <v>96</v>
      </c>
      <c r="I131" t="s">
        <v>104</v>
      </c>
      <c r="J131">
        <v>6.92</v>
      </c>
      <c r="K131">
        <v>1.1881505576871751</v>
      </c>
      <c r="L131">
        <v>4.9392601226690376</v>
      </c>
      <c r="M131">
        <v>7.3270388082152671</v>
      </c>
      <c r="N131">
        <v>8.7659448189378892</v>
      </c>
      <c r="O131">
        <v>7.0717246999999997E-2</v>
      </c>
      <c r="P131">
        <v>0.19187499999999999</v>
      </c>
      <c r="Q131">
        <f t="shared" ref="Q131:Q145" si="6">M131/SUM(P131,R131)</f>
        <v>14.192811250780176</v>
      </c>
      <c r="R131">
        <v>0.32437500000000008</v>
      </c>
      <c r="S131">
        <f t="shared" ref="S131:S145" si="7">P131+R131</f>
        <v>0.5162500000000001</v>
      </c>
      <c r="T131">
        <v>0.4837499999999999</v>
      </c>
      <c r="U131">
        <v>5373896888.0945063</v>
      </c>
      <c r="V131">
        <v>259855518.56966221</v>
      </c>
      <c r="W131">
        <f t="shared" ref="W131:W145" si="8">V131/U131</f>
        <v>4.8355136687745909E-2</v>
      </c>
      <c r="X131">
        <v>0</v>
      </c>
      <c r="Y131">
        <v>0.22319526600585063</v>
      </c>
      <c r="Z131">
        <v>0.16963024897294132</v>
      </c>
      <c r="AA131">
        <v>0.17474353314797414</v>
      </c>
      <c r="AB131">
        <v>0.24237454182034887</v>
      </c>
      <c r="AC131" t="s">
        <v>240</v>
      </c>
    </row>
    <row r="132" spans="1:29" x14ac:dyDescent="0.35">
      <c r="A132" t="s">
        <v>203</v>
      </c>
      <c r="B132" t="s">
        <v>81</v>
      </c>
      <c r="C132" s="5" t="s">
        <v>256</v>
      </c>
      <c r="D132">
        <v>329995.00000000012</v>
      </c>
      <c r="E132">
        <v>6161463</v>
      </c>
      <c r="F132">
        <v>5</v>
      </c>
      <c r="G132" t="s">
        <v>225</v>
      </c>
      <c r="H132" t="s">
        <v>96</v>
      </c>
      <c r="I132" t="s">
        <v>105</v>
      </c>
      <c r="J132">
        <v>5.33</v>
      </c>
      <c r="K132">
        <v>2.5402244547079973</v>
      </c>
      <c r="L132">
        <v>0.44596709428954368</v>
      </c>
      <c r="M132">
        <v>5.3708338120281889</v>
      </c>
      <c r="N132">
        <v>12.015941171357918</v>
      </c>
      <c r="O132">
        <v>5.3063714666666671E-2</v>
      </c>
      <c r="P132">
        <v>0.15875</v>
      </c>
      <c r="Q132">
        <f t="shared" si="6"/>
        <v>13.427084530070472</v>
      </c>
      <c r="R132">
        <v>0.24124999999999999</v>
      </c>
      <c r="S132">
        <f t="shared" si="7"/>
        <v>0.4</v>
      </c>
      <c r="T132">
        <v>0.6</v>
      </c>
      <c r="U132">
        <v>7356998402.9211178</v>
      </c>
      <c r="V132">
        <v>594090129.34024763</v>
      </c>
      <c r="W132">
        <f t="shared" si="8"/>
        <v>8.0751700191257672E-2</v>
      </c>
      <c r="X132">
        <v>0</v>
      </c>
      <c r="Y132">
        <v>1.8336243540096352E-2</v>
      </c>
      <c r="Z132">
        <v>4.0715233992491273E-2</v>
      </c>
      <c r="AA132">
        <v>0.23977742599418442</v>
      </c>
      <c r="AB132">
        <v>0.44971202691909373</v>
      </c>
      <c r="AC132" t="s">
        <v>240</v>
      </c>
    </row>
    <row r="133" spans="1:29" x14ac:dyDescent="0.35">
      <c r="A133" t="s">
        <v>204</v>
      </c>
      <c r="B133" t="s">
        <v>80</v>
      </c>
      <c r="C133" s="5" t="s">
        <v>256</v>
      </c>
      <c r="D133">
        <v>329995.00000000012</v>
      </c>
      <c r="E133">
        <v>6161463</v>
      </c>
      <c r="F133">
        <v>5</v>
      </c>
      <c r="G133" t="s">
        <v>225</v>
      </c>
      <c r="H133" t="s">
        <v>96</v>
      </c>
      <c r="I133" t="s">
        <v>106</v>
      </c>
      <c r="J133">
        <v>5.12</v>
      </c>
      <c r="K133">
        <v>1.5108168343991053</v>
      </c>
      <c r="L133">
        <v>0.23994790143107828</v>
      </c>
      <c r="M133">
        <v>2.5774659361681742</v>
      </c>
      <c r="N133">
        <v>10.739561106147738</v>
      </c>
      <c r="O133">
        <v>4.2723384666666669E-2</v>
      </c>
      <c r="P133">
        <v>0.18375000000000002</v>
      </c>
      <c r="Q133">
        <f t="shared" si="6"/>
        <v>4.9926700942724915</v>
      </c>
      <c r="R133">
        <v>0.33250000000000002</v>
      </c>
      <c r="S133">
        <f t="shared" si="7"/>
        <v>0.5162500000000001</v>
      </c>
      <c r="T133">
        <v>0.4837499999999999</v>
      </c>
      <c r="U133">
        <v>14825278663.453278</v>
      </c>
      <c r="V133">
        <v>127249013.75550255</v>
      </c>
      <c r="W133">
        <f t="shared" si="8"/>
        <v>8.5832459978774003E-3</v>
      </c>
      <c r="X133">
        <v>0</v>
      </c>
      <c r="Y133">
        <v>1.8336243540096352E-2</v>
      </c>
      <c r="Z133">
        <v>4.0715233992491273E-2</v>
      </c>
      <c r="AA133">
        <v>0.23977742599418442</v>
      </c>
      <c r="AB133">
        <v>0.44971202691909373</v>
      </c>
      <c r="AC133" t="s">
        <v>240</v>
      </c>
    </row>
    <row r="134" spans="1:29" x14ac:dyDescent="0.35">
      <c r="A134" t="s">
        <v>205</v>
      </c>
      <c r="B134" t="s">
        <v>83</v>
      </c>
      <c r="C134" s="5" t="s">
        <v>257</v>
      </c>
      <c r="D134">
        <v>334921.90000000002</v>
      </c>
      <c r="E134">
        <v>6165503.5</v>
      </c>
      <c r="F134">
        <v>5</v>
      </c>
      <c r="G134" t="s">
        <v>225</v>
      </c>
      <c r="H134" t="s">
        <v>96</v>
      </c>
      <c r="I134" t="s">
        <v>107</v>
      </c>
      <c r="J134">
        <v>5.24</v>
      </c>
      <c r="K134">
        <v>1.739836681054151</v>
      </c>
      <c r="L134">
        <v>0.28681080742489856</v>
      </c>
      <c r="M134">
        <v>3.0441133478984699</v>
      </c>
      <c r="N134">
        <v>10.614797098722454</v>
      </c>
      <c r="O134">
        <v>5.4440037000000004E-2</v>
      </c>
      <c r="P134">
        <v>0.15875</v>
      </c>
      <c r="Q134">
        <f t="shared" si="6"/>
        <v>6.8311098971073658</v>
      </c>
      <c r="R134">
        <v>0.28687499999999999</v>
      </c>
      <c r="S134">
        <f t="shared" si="7"/>
        <v>0.44562499999999999</v>
      </c>
      <c r="T134">
        <v>0.55437499999999995</v>
      </c>
      <c r="U134">
        <v>460715.45998127793</v>
      </c>
      <c r="V134">
        <v>82789469.958653122</v>
      </c>
      <c r="W134">
        <f t="shared" si="8"/>
        <v>179.69761631619099</v>
      </c>
      <c r="X134">
        <v>5.570423008216337E-3</v>
      </c>
      <c r="Y134">
        <v>0.38055022016743756</v>
      </c>
      <c r="Z134">
        <v>0.63505028690473309</v>
      </c>
      <c r="AA134">
        <v>0.80700882627256121</v>
      </c>
      <c r="AB134">
        <v>0.88679127665281587</v>
      </c>
      <c r="AC134" t="s">
        <v>241</v>
      </c>
    </row>
    <row r="135" spans="1:29" x14ac:dyDescent="0.35">
      <c r="A135" t="s">
        <v>206</v>
      </c>
      <c r="B135" t="s">
        <v>82</v>
      </c>
      <c r="C135" s="5" t="s">
        <v>257</v>
      </c>
      <c r="D135">
        <v>334921.90000000002</v>
      </c>
      <c r="E135">
        <v>6165503.5</v>
      </c>
      <c r="F135">
        <v>5</v>
      </c>
      <c r="G135" t="s">
        <v>225</v>
      </c>
      <c r="H135" t="s">
        <v>96</v>
      </c>
      <c r="I135" t="s">
        <v>108</v>
      </c>
      <c r="J135">
        <v>5.14</v>
      </c>
      <c r="K135">
        <v>1.368579445792852</v>
      </c>
      <c r="L135">
        <v>0.3431919750280879</v>
      </c>
      <c r="M135">
        <v>2.9660271354737198</v>
      </c>
      <c r="N135">
        <v>8.6408912651974799</v>
      </c>
      <c r="O135">
        <v>7.4583004999999994E-2</v>
      </c>
      <c r="P135">
        <v>0.15437499999999998</v>
      </c>
      <c r="Q135">
        <f t="shared" si="6"/>
        <v>7.1255907158527787</v>
      </c>
      <c r="R135">
        <v>0.26187500000000008</v>
      </c>
      <c r="S135">
        <f t="shared" si="7"/>
        <v>0.41625000000000006</v>
      </c>
      <c r="T135">
        <v>0.58374999999999988</v>
      </c>
      <c r="U135">
        <v>5355380137.375041</v>
      </c>
      <c r="V135">
        <v>818598255.57095087</v>
      </c>
      <c r="W135">
        <f t="shared" si="8"/>
        <v>0.15285530337201977</v>
      </c>
      <c r="X135">
        <v>5.570423008216337E-3</v>
      </c>
      <c r="Y135">
        <v>0.38055022016743756</v>
      </c>
      <c r="Z135">
        <v>0.63505028690473309</v>
      </c>
      <c r="AA135">
        <v>0.80700882627256121</v>
      </c>
      <c r="AB135">
        <v>0.88679127665281587</v>
      </c>
      <c r="AC135" t="s">
        <v>241</v>
      </c>
    </row>
    <row r="136" spans="1:29" x14ac:dyDescent="0.35">
      <c r="A136" t="s">
        <v>152</v>
      </c>
      <c r="B136" t="s">
        <v>84</v>
      </c>
      <c r="C136" s="5" t="s">
        <v>265</v>
      </c>
      <c r="D136">
        <v>335139.00000000012</v>
      </c>
      <c r="E136">
        <v>6165524</v>
      </c>
      <c r="F136">
        <v>5</v>
      </c>
      <c r="G136" t="s">
        <v>43</v>
      </c>
      <c r="H136" t="s">
        <v>96</v>
      </c>
      <c r="I136" t="s">
        <v>43</v>
      </c>
      <c r="J136">
        <v>6.01</v>
      </c>
      <c r="K136">
        <v>4.5561430071070195</v>
      </c>
      <c r="L136">
        <v>0.73744473264602839</v>
      </c>
      <c r="M136">
        <v>12.094769490111466</v>
      </c>
      <c r="N136">
        <v>16.411181675952907</v>
      </c>
      <c r="O136">
        <v>6.1387354666666671E-2</v>
      </c>
      <c r="P136">
        <v>0.12937499999999999</v>
      </c>
      <c r="Q136">
        <f t="shared" si="6"/>
        <v>33.023261406447681</v>
      </c>
      <c r="R136">
        <v>0.23687500000000006</v>
      </c>
      <c r="S136">
        <f t="shared" si="7"/>
        <v>0.36625000000000008</v>
      </c>
      <c r="T136">
        <v>0.63374999999999992</v>
      </c>
      <c r="U136">
        <v>4323651829.0195026</v>
      </c>
      <c r="V136">
        <v>101523990.33638509</v>
      </c>
      <c r="W136">
        <f t="shared" si="8"/>
        <v>2.3481074413757366E-2</v>
      </c>
      <c r="X136">
        <v>0.63646061742448945</v>
      </c>
      <c r="Y136">
        <v>0.50237125879339928</v>
      </c>
      <c r="Z136">
        <v>0.68772790308482512</v>
      </c>
      <c r="AA136">
        <v>0.82294883044298694</v>
      </c>
      <c r="AB136">
        <v>0.89209375913123812</v>
      </c>
      <c r="AC136" t="s">
        <v>217</v>
      </c>
    </row>
    <row r="137" spans="1:29" x14ac:dyDescent="0.35">
      <c r="A137" t="s">
        <v>207</v>
      </c>
      <c r="B137" t="s">
        <v>85</v>
      </c>
      <c r="C137" s="5" t="s">
        <v>265</v>
      </c>
      <c r="D137">
        <v>335139.00000000012</v>
      </c>
      <c r="E137">
        <v>6165524</v>
      </c>
      <c r="F137">
        <v>5</v>
      </c>
      <c r="G137" t="s">
        <v>43</v>
      </c>
      <c r="H137" t="s">
        <v>96</v>
      </c>
      <c r="I137" t="s">
        <v>43</v>
      </c>
      <c r="J137">
        <v>5.96</v>
      </c>
      <c r="K137">
        <v>6.1386547257268047</v>
      </c>
      <c r="L137">
        <v>0.95412419878615162</v>
      </c>
      <c r="M137">
        <v>13.428397825105982</v>
      </c>
      <c r="N137">
        <v>14.0428922483952</v>
      </c>
      <c r="O137">
        <v>8.8538558333333336E-2</v>
      </c>
      <c r="P137">
        <v>8.8750000000000023E-2</v>
      </c>
      <c r="Q137">
        <f t="shared" si="6"/>
        <v>37.893186102591834</v>
      </c>
      <c r="R137">
        <v>0.265625</v>
      </c>
      <c r="S137">
        <f t="shared" si="7"/>
        <v>0.354375</v>
      </c>
      <c r="T137">
        <v>0.645625</v>
      </c>
      <c r="U137">
        <v>8047765778.6067905</v>
      </c>
      <c r="V137">
        <v>162128.47498927399</v>
      </c>
      <c r="W137">
        <f t="shared" si="8"/>
        <v>2.0145774547795213E-5</v>
      </c>
      <c r="X137">
        <v>0.63646061742448945</v>
      </c>
      <c r="Y137">
        <v>0.50237125879339928</v>
      </c>
      <c r="Z137">
        <v>0.68772790308482512</v>
      </c>
      <c r="AA137">
        <v>0.82294883044298694</v>
      </c>
      <c r="AB137">
        <v>0.89209375913123812</v>
      </c>
      <c r="AC137" t="s">
        <v>217</v>
      </c>
    </row>
    <row r="138" spans="1:29" x14ac:dyDescent="0.35">
      <c r="A138" t="s">
        <v>208</v>
      </c>
      <c r="B138" t="s">
        <v>87</v>
      </c>
      <c r="C138" s="5" t="s">
        <v>258</v>
      </c>
      <c r="D138">
        <v>302867.00000000012</v>
      </c>
      <c r="E138">
        <v>6109326</v>
      </c>
      <c r="F138">
        <v>6</v>
      </c>
      <c r="G138" t="s">
        <v>225</v>
      </c>
      <c r="H138" t="s">
        <v>96</v>
      </c>
      <c r="I138" t="s">
        <v>103</v>
      </c>
      <c r="J138">
        <v>5.35</v>
      </c>
      <c r="K138">
        <v>2.1909817846205972</v>
      </c>
      <c r="L138">
        <v>0.44555749630433444</v>
      </c>
      <c r="M138">
        <v>4.6993750556419505</v>
      </c>
      <c r="N138">
        <v>10.562089832479552</v>
      </c>
      <c r="O138">
        <v>0.14207047133333331</v>
      </c>
      <c r="P138">
        <v>8.3750000000000019E-2</v>
      </c>
      <c r="Q138">
        <f t="shared" si="6"/>
        <v>21.300283538320457</v>
      </c>
      <c r="R138">
        <v>0.13687499999999997</v>
      </c>
      <c r="S138">
        <f t="shared" si="7"/>
        <v>0.22062499999999999</v>
      </c>
      <c r="T138">
        <v>0.77937500000000004</v>
      </c>
      <c r="U138">
        <v>10247245064.795969</v>
      </c>
      <c r="V138">
        <v>182505187.32352164</v>
      </c>
      <c r="W138">
        <f t="shared" si="8"/>
        <v>1.7810171042996859E-2</v>
      </c>
      <c r="X138">
        <v>0.30064368750059028</v>
      </c>
      <c r="Y138">
        <v>0.23035613327306106</v>
      </c>
      <c r="Z138">
        <v>0.26570682709171972</v>
      </c>
      <c r="AA138">
        <v>0.28996821053775834</v>
      </c>
      <c r="AB138">
        <v>0.30734719184445736</v>
      </c>
      <c r="AC138" t="s">
        <v>240</v>
      </c>
    </row>
    <row r="139" spans="1:29" x14ac:dyDescent="0.35">
      <c r="A139" t="s">
        <v>209</v>
      </c>
      <c r="B139" t="s">
        <v>86</v>
      </c>
      <c r="C139" s="5" t="s">
        <v>258</v>
      </c>
      <c r="D139">
        <v>302867.00000000012</v>
      </c>
      <c r="E139">
        <v>6109326</v>
      </c>
      <c r="F139">
        <v>6</v>
      </c>
      <c r="G139" t="s">
        <v>225</v>
      </c>
      <c r="H139" t="s">
        <v>96</v>
      </c>
      <c r="I139" t="s">
        <v>104</v>
      </c>
      <c r="J139">
        <v>5.57</v>
      </c>
      <c r="K139">
        <v>1.6616117783914468</v>
      </c>
      <c r="L139">
        <v>0.28029171366425637</v>
      </c>
      <c r="M139">
        <v>3.0426124193125563</v>
      </c>
      <c r="N139">
        <v>10.880660405483445</v>
      </c>
      <c r="O139">
        <v>0.12693412866666667</v>
      </c>
      <c r="P139">
        <v>7.1250000000000008E-2</v>
      </c>
      <c r="Q139">
        <f t="shared" si="6"/>
        <v>15.213062096562782</v>
      </c>
      <c r="R139">
        <v>0.12875</v>
      </c>
      <c r="S139">
        <f t="shared" si="7"/>
        <v>0.2</v>
      </c>
      <c r="T139">
        <v>0.8</v>
      </c>
      <c r="U139">
        <v>48653870.055330493</v>
      </c>
      <c r="V139">
        <v>50445133.110571057</v>
      </c>
      <c r="W139">
        <f t="shared" si="8"/>
        <v>1.0368164557763544</v>
      </c>
      <c r="X139">
        <v>0.30064368750059028</v>
      </c>
      <c r="Y139">
        <v>0.23035613327306106</v>
      </c>
      <c r="Z139">
        <v>0.26570682709171972</v>
      </c>
      <c r="AA139">
        <v>0.28996821053775834</v>
      </c>
      <c r="AB139">
        <v>0.30734719184445736</v>
      </c>
      <c r="AC139" t="s">
        <v>240</v>
      </c>
    </row>
    <row r="140" spans="1:29" x14ac:dyDescent="0.35">
      <c r="A140" t="s">
        <v>210</v>
      </c>
      <c r="B140" t="s">
        <v>89</v>
      </c>
      <c r="C140" s="5" t="s">
        <v>259</v>
      </c>
      <c r="D140">
        <v>312468.99999999988</v>
      </c>
      <c r="E140">
        <v>6098487</v>
      </c>
      <c r="F140">
        <v>6</v>
      </c>
      <c r="G140" t="s">
        <v>225</v>
      </c>
      <c r="H140" t="s">
        <v>96</v>
      </c>
      <c r="I140" t="s">
        <v>105</v>
      </c>
      <c r="J140">
        <v>5.82</v>
      </c>
      <c r="K140">
        <v>4.0394949277580539</v>
      </c>
      <c r="L140">
        <v>0.49431360790254986</v>
      </c>
      <c r="M140">
        <v>5.9234323588301274</v>
      </c>
      <c r="N140">
        <v>11.985166374708692</v>
      </c>
      <c r="O140">
        <v>0.11866938</v>
      </c>
      <c r="P140">
        <v>0.12625000000000003</v>
      </c>
      <c r="Q140">
        <f t="shared" si="6"/>
        <v>14.80858089707532</v>
      </c>
      <c r="R140">
        <v>0.27374999999999994</v>
      </c>
      <c r="S140">
        <f t="shared" si="7"/>
        <v>0.39999999999999997</v>
      </c>
      <c r="T140">
        <v>0.6</v>
      </c>
      <c r="U140">
        <v>9303243856.594656</v>
      </c>
      <c r="V140">
        <v>200635576.89508504</v>
      </c>
      <c r="W140">
        <f t="shared" si="8"/>
        <v>2.1566195618194336E-2</v>
      </c>
      <c r="X140">
        <v>0</v>
      </c>
      <c r="Y140">
        <v>7.4373741526615068E-3</v>
      </c>
      <c r="Z140">
        <v>0.43443898891234478</v>
      </c>
      <c r="AA140">
        <v>0.65303755967716892</v>
      </c>
      <c r="AB140">
        <v>0.66787311766930502</v>
      </c>
      <c r="AC140" t="s">
        <v>241</v>
      </c>
    </row>
    <row r="141" spans="1:29" x14ac:dyDescent="0.35">
      <c r="A141" t="s">
        <v>211</v>
      </c>
      <c r="B141" t="s">
        <v>88</v>
      </c>
      <c r="C141" s="5" t="s">
        <v>259</v>
      </c>
      <c r="D141">
        <v>312468.99999999988</v>
      </c>
      <c r="E141">
        <v>6098487</v>
      </c>
      <c r="F141">
        <v>6</v>
      </c>
      <c r="G141" t="s">
        <v>225</v>
      </c>
      <c r="H141" t="s">
        <v>96</v>
      </c>
      <c r="I141" t="s">
        <v>106</v>
      </c>
      <c r="J141">
        <v>5.45</v>
      </c>
      <c r="K141">
        <v>3.1047307872560403</v>
      </c>
      <c r="L141">
        <v>0.36778885019690227</v>
      </c>
      <c r="M141">
        <v>4.3781068089729898</v>
      </c>
      <c r="N141">
        <v>11.905495544833927</v>
      </c>
      <c r="O141">
        <v>9.6369497999999998E-2</v>
      </c>
      <c r="P141">
        <v>8.3750000000000019E-2</v>
      </c>
      <c r="Q141">
        <f t="shared" si="6"/>
        <v>9.5435570767803561</v>
      </c>
      <c r="R141">
        <v>0.37500000000000006</v>
      </c>
      <c r="S141">
        <f t="shared" si="7"/>
        <v>0.4587500000000001</v>
      </c>
      <c r="T141">
        <v>0.5412499999999999</v>
      </c>
      <c r="U141">
        <v>11404517532.550711</v>
      </c>
      <c r="V141">
        <v>31336.334311165574</v>
      </c>
      <c r="W141">
        <f t="shared" si="8"/>
        <v>2.7477124062219716E-6</v>
      </c>
      <c r="X141">
        <v>0</v>
      </c>
      <c r="Y141">
        <v>7.4373741526615068E-3</v>
      </c>
      <c r="Z141">
        <v>0.43443898891234478</v>
      </c>
      <c r="AA141">
        <v>0.65303755967716892</v>
      </c>
      <c r="AB141">
        <v>0.66787311766930502</v>
      </c>
      <c r="AC141" t="s">
        <v>241</v>
      </c>
    </row>
    <row r="142" spans="1:29" x14ac:dyDescent="0.35">
      <c r="A142" t="s">
        <v>212</v>
      </c>
      <c r="B142" t="s">
        <v>91</v>
      </c>
      <c r="C142" s="5" t="s">
        <v>260</v>
      </c>
      <c r="D142">
        <v>312848</v>
      </c>
      <c r="E142">
        <v>6098782</v>
      </c>
      <c r="F142">
        <v>6</v>
      </c>
      <c r="G142" t="s">
        <v>225</v>
      </c>
      <c r="H142" t="s">
        <v>96</v>
      </c>
      <c r="I142" t="s">
        <v>107</v>
      </c>
      <c r="J142">
        <v>5.87</v>
      </c>
      <c r="K142">
        <v>1.7598804460533926</v>
      </c>
      <c r="L142">
        <v>0.1468047626421459</v>
      </c>
      <c r="M142">
        <v>2.0700712513262816</v>
      </c>
      <c r="N142">
        <v>14.082031899663926</v>
      </c>
      <c r="O142">
        <v>7.2493552000000003E-2</v>
      </c>
      <c r="P142">
        <v>0.17125000000000001</v>
      </c>
      <c r="Q142">
        <f t="shared" si="6"/>
        <v>3.4501187522104688</v>
      </c>
      <c r="R142">
        <v>0.42875000000000002</v>
      </c>
      <c r="S142">
        <f t="shared" si="7"/>
        <v>0.60000000000000009</v>
      </c>
      <c r="T142">
        <v>0.4</v>
      </c>
      <c r="U142">
        <v>7937417524.6432629</v>
      </c>
      <c r="V142">
        <v>408228608.14159435</v>
      </c>
      <c r="W142">
        <f t="shared" si="8"/>
        <v>5.1430910226678755E-2</v>
      </c>
      <c r="X142">
        <v>0.67628118418608163</v>
      </c>
      <c r="Y142">
        <v>0.59296200284635536</v>
      </c>
      <c r="Z142">
        <v>0.63693024673760679</v>
      </c>
      <c r="AA142">
        <v>0.73062623105424029</v>
      </c>
      <c r="AB142">
        <v>0.67021547099496348</v>
      </c>
      <c r="AC142" t="s">
        <v>241</v>
      </c>
    </row>
    <row r="143" spans="1:29" x14ac:dyDescent="0.35">
      <c r="A143" t="s">
        <v>213</v>
      </c>
      <c r="B143" t="s">
        <v>90</v>
      </c>
      <c r="C143" s="5" t="s">
        <v>260</v>
      </c>
      <c r="D143">
        <v>312848</v>
      </c>
      <c r="E143">
        <v>6098782</v>
      </c>
      <c r="F143">
        <v>6</v>
      </c>
      <c r="G143" t="s">
        <v>225</v>
      </c>
      <c r="H143" t="s">
        <v>96</v>
      </c>
      <c r="I143" t="s">
        <v>108</v>
      </c>
      <c r="J143">
        <v>5.71</v>
      </c>
      <c r="K143">
        <v>1.8621180484879514</v>
      </c>
      <c r="L143">
        <v>0.20512382851241082</v>
      </c>
      <c r="M143">
        <v>3.1193259903403501</v>
      </c>
      <c r="N143">
        <v>15.210667506972124</v>
      </c>
      <c r="O143">
        <v>6.2082017333333329E-2</v>
      </c>
      <c r="P143">
        <v>0.23375000000000004</v>
      </c>
      <c r="Q143">
        <f t="shared" si="6"/>
        <v>6.5670020849270534</v>
      </c>
      <c r="R143">
        <v>0.24124999999999996</v>
      </c>
      <c r="S143">
        <f t="shared" si="7"/>
        <v>0.47499999999999998</v>
      </c>
      <c r="T143">
        <v>0.52500000000000002</v>
      </c>
      <c r="U143">
        <v>6795525902.2875175</v>
      </c>
      <c r="V143">
        <v>146140804.94121337</v>
      </c>
      <c r="W143">
        <f t="shared" si="8"/>
        <v>2.1505444470753806E-2</v>
      </c>
      <c r="X143">
        <v>0.67628118418608163</v>
      </c>
      <c r="Y143">
        <v>0.59296200284635536</v>
      </c>
      <c r="Z143">
        <v>0.63693024673760679</v>
      </c>
      <c r="AA143">
        <v>0.73062623105424029</v>
      </c>
      <c r="AB143">
        <v>0.67021547099496348</v>
      </c>
      <c r="AC143" t="s">
        <v>241</v>
      </c>
    </row>
    <row r="144" spans="1:29" x14ac:dyDescent="0.35">
      <c r="A144" t="s">
        <v>153</v>
      </c>
      <c r="B144" t="s">
        <v>92</v>
      </c>
      <c r="C144" s="5" t="s">
        <v>266</v>
      </c>
      <c r="D144">
        <v>313072.99999999988</v>
      </c>
      <c r="E144">
        <v>6098841</v>
      </c>
      <c r="F144">
        <v>6</v>
      </c>
      <c r="G144" t="s">
        <v>43</v>
      </c>
      <c r="H144" t="s">
        <v>96</v>
      </c>
      <c r="I144" t="s">
        <v>43</v>
      </c>
      <c r="J144">
        <v>5.48</v>
      </c>
      <c r="K144">
        <v>2.2722825912677549</v>
      </c>
      <c r="L144">
        <v>0.22832554153861739</v>
      </c>
      <c r="M144">
        <v>3.5116199769081811</v>
      </c>
      <c r="N144">
        <v>15.376995947278788</v>
      </c>
      <c r="O144">
        <v>5.3320438999999997E-2</v>
      </c>
      <c r="P144">
        <v>0.30875000000000002</v>
      </c>
      <c r="Q144">
        <f t="shared" si="6"/>
        <v>6.4879814815855541</v>
      </c>
      <c r="R144">
        <v>0.23249999999999996</v>
      </c>
      <c r="S144">
        <f t="shared" si="7"/>
        <v>0.54125000000000001</v>
      </c>
      <c r="T144">
        <v>0.45874999999999999</v>
      </c>
      <c r="U144">
        <v>353189.52293049335</v>
      </c>
      <c r="V144">
        <v>185183942.36154154</v>
      </c>
      <c r="W144">
        <f t="shared" si="8"/>
        <v>524.31890058637214</v>
      </c>
      <c r="X144">
        <v>0.92803247316884174</v>
      </c>
      <c r="Y144">
        <v>0.88331903018332669</v>
      </c>
      <c r="Z144">
        <v>0.80789848712557044</v>
      </c>
      <c r="AA144">
        <v>0.71330189718880133</v>
      </c>
      <c r="AB144">
        <v>0.68484468778647967</v>
      </c>
      <c r="AC144" t="s">
        <v>217</v>
      </c>
    </row>
    <row r="145" spans="1:29" x14ac:dyDescent="0.35">
      <c r="A145" t="s">
        <v>214</v>
      </c>
      <c r="B145" t="s">
        <v>93</v>
      </c>
      <c r="C145" s="5" t="s">
        <v>266</v>
      </c>
      <c r="D145">
        <v>313072.99999999988</v>
      </c>
      <c r="E145">
        <v>6098841</v>
      </c>
      <c r="F145">
        <v>6</v>
      </c>
      <c r="G145" t="s">
        <v>43</v>
      </c>
      <c r="H145" t="s">
        <v>96</v>
      </c>
      <c r="I145" t="s">
        <v>43</v>
      </c>
      <c r="J145">
        <v>5.71</v>
      </c>
      <c r="K145">
        <v>2.384766281097805</v>
      </c>
      <c r="L145">
        <v>0.20913352895376713</v>
      </c>
      <c r="M145">
        <v>3.983843876774003</v>
      </c>
      <c r="N145">
        <v>19.027046053979973</v>
      </c>
      <c r="O145">
        <v>3.9044949333333336E-2</v>
      </c>
      <c r="P145">
        <v>0.18875000000000003</v>
      </c>
      <c r="Q145">
        <f t="shared" si="6"/>
        <v>10.989914142824835</v>
      </c>
      <c r="R145">
        <v>0.17375000000000004</v>
      </c>
      <c r="S145">
        <f t="shared" si="7"/>
        <v>0.36250000000000004</v>
      </c>
      <c r="T145">
        <v>0.63749999999999996</v>
      </c>
      <c r="U145">
        <v>4850000000</v>
      </c>
      <c r="V145">
        <v>265597579.83617255</v>
      </c>
      <c r="W145">
        <f t="shared" si="8"/>
        <v>5.4762387595087121E-2</v>
      </c>
      <c r="X145">
        <v>0.92803247316884174</v>
      </c>
      <c r="Y145">
        <v>0.88331903018332669</v>
      </c>
      <c r="Z145">
        <v>0.80789848712557044</v>
      </c>
      <c r="AA145">
        <v>0.71330189718880133</v>
      </c>
      <c r="AB145">
        <v>0.68484468778647967</v>
      </c>
      <c r="AC145" t="s">
        <v>217</v>
      </c>
    </row>
  </sheetData>
  <autoFilter ref="A1:AC145" xr:uid="{CACA4775-CC11-47A3-82AE-1D25C049E6FC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FB16BF-0F07-4B7D-82DF-16B1DEF0460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Mirtala</dc:creator>
  <cp:lastModifiedBy>Pedro Mondaca</cp:lastModifiedBy>
  <dcterms:created xsi:type="dcterms:W3CDTF">2022-05-09T16:08:27Z</dcterms:created>
  <dcterms:modified xsi:type="dcterms:W3CDTF">2026-01-05T14:23:54Z</dcterms:modified>
</cp:coreProperties>
</file>